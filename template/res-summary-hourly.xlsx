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o\srmt-prime\template\"/>
    </mc:Choice>
  </mc:AlternateContent>
  <xr:revisionPtr revIDLastSave="0" documentId="13_ncr:1_{E712D0A2-D280-4021-A7B7-21082E8CE1E7}" xr6:coauthVersionLast="47" xr6:coauthVersionMax="47" xr10:uidLastSave="{00000000-0000-0000-0000-000000000000}"/>
  <bookViews>
    <workbookView xWindow="12" yWindow="12" windowWidth="23016" windowHeight="12216" xr2:uid="{6E08EF15-0A9E-4F58-A150-C5BD551A4397}"/>
  </bookViews>
  <sheets>
    <sheet name="Лист 1" sheetId="1" r:id="rId1"/>
  </sheets>
  <definedNames>
    <definedName name="_xlnm.Print_Area" localSheetId="0">'Лист 1'!$A$1:$Q$11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P6" i="1"/>
  <c r="Q5" i="1"/>
  <c r="H5" i="1"/>
  <c r="G5" i="1"/>
  <c r="E5" i="1"/>
  <c r="C5" i="1"/>
  <c r="D5" i="1"/>
  <c r="B5" i="1"/>
  <c r="P2" i="1"/>
  <c r="Q4" i="1"/>
  <c r="O5" i="1"/>
  <c r="O4" i="1"/>
  <c r="N5" i="1" s="1"/>
  <c r="H4" i="1"/>
  <c r="E4" i="1"/>
  <c r="C4" i="1"/>
  <c r="F13" i="1"/>
  <c r="I7" i="1"/>
  <c r="I8" i="1"/>
  <c r="I9" i="1"/>
  <c r="I10" i="1"/>
  <c r="I11" i="1"/>
  <c r="I6" i="1"/>
  <c r="F7" i="1"/>
  <c r="F8" i="1"/>
  <c r="F9" i="1"/>
  <c r="F10" i="1"/>
  <c r="F11" i="1"/>
  <c r="F6" i="1"/>
  <c r="N4" i="1" l="1"/>
  <c r="M4" i="1" s="1"/>
  <c r="L4" i="1" s="1"/>
  <c r="K4" i="1" s="1"/>
  <c r="J4" i="1" s="1"/>
  <c r="P12" i="1" l="1"/>
  <c r="P14" i="1"/>
  <c r="P13" i="1"/>
  <c r="M5" i="1"/>
  <c r="L5" i="1" s="1"/>
  <c r="K5" i="1" s="1"/>
  <c r="J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Shavkat Buriev</author>
    <author>Nodirbek Movlonov</author>
    <author>Jamol Kamalov</author>
  </authors>
  <commentList>
    <comment ref="P2" authorId="0" shapeId="0" xr:uid="{D8B61679-555B-4078-ABC6-326E3D303674}">
      <text>
        <r>
          <rPr>
            <b/>
            <sz val="9"/>
            <color indexed="81"/>
            <rFont val="Tahoma"/>
            <family val="2"/>
            <charset val="204"/>
          </rPr>
          <t>Nodirbek Movlonov: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9"/>
            <color indexed="81"/>
            <rFont val="Tahoma"/>
            <family val="2"/>
            <charset val="204"/>
          </rPr>
          <t xml:space="preserve">Т Е Г М А Н Г !
</t>
        </r>
        <r>
          <rPr>
            <sz val="9"/>
            <color indexed="81"/>
            <rFont val="Tahoma"/>
            <family val="2"/>
            <charset val="204"/>
          </rPr>
          <t>Соат 00-00 га ўзгарса автоматик ўзгаради.</t>
        </r>
      </text>
    </comment>
    <comment ref="Q5" authorId="1" shapeId="0" xr:uid="{92C06A4D-5E47-4AA7-819C-14BF3EFEF15C}">
      <text>
        <r>
          <rPr>
            <b/>
            <sz val="9"/>
            <color indexed="81"/>
            <rFont val="Tahoma"/>
            <family val="2"/>
            <charset val="204"/>
          </rPr>
          <t xml:space="preserve">Nodirbek Movlonov: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9"/>
            <color indexed="81"/>
            <rFont val="Tahoma"/>
            <family val="2"/>
            <charset val="204"/>
          </rPr>
          <t>Т Е Г М А Н Г !</t>
        </r>
        <r>
          <rPr>
            <sz val="9"/>
            <color indexed="81"/>
            <rFont val="Tahoma"/>
            <family val="2"/>
            <charset val="204"/>
          </rPr>
          <t xml:space="preserve">  
Чиқиш вақти 00-00 болса кейинги кунга ўтади. 
</t>
        </r>
        <r>
          <rPr>
            <b/>
            <sz val="9"/>
            <color indexed="81"/>
            <rFont val="Tahoma"/>
            <family val="2"/>
            <charset val="204"/>
          </rPr>
          <t>Кунлар автоматик ўзгаради.</t>
        </r>
      </text>
    </comment>
    <comment ref="R13" authorId="2" shapeId="0" xr:uid="{402AF651-073A-4DDB-84B6-0EE156931630}">
      <text>
        <r>
          <rPr>
            <b/>
            <sz val="9"/>
            <rFont val="Tahoma"/>
            <family val="2"/>
            <charset val="204"/>
          </rPr>
          <t>Jamol Kamalov:</t>
        </r>
        <r>
          <rPr>
            <sz val="9"/>
            <rFont val="Tahoma"/>
            <family val="2"/>
            <charset val="204"/>
          </rPr>
          <t xml:space="preserve">
Kelish chiqish bir xil
</t>
        </r>
      </text>
    </comment>
  </commentList>
</comments>
</file>

<file path=xl/sharedStrings.xml><?xml version="1.0" encoding="utf-8"?>
<sst xmlns="http://schemas.openxmlformats.org/spreadsheetml/2006/main" count="40" uniqueCount="23">
  <si>
    <t>Чотқол</t>
  </si>
  <si>
    <t>очиқ 06:00</t>
  </si>
  <si>
    <t xml:space="preserve">Пском </t>
  </si>
  <si>
    <t>Угам:</t>
  </si>
  <si>
    <r>
      <rPr>
        <sz val="12"/>
        <color theme="0"/>
        <rFont val="Times New Roman"/>
        <family val="1"/>
        <charset val="204"/>
      </rPr>
      <t xml:space="preserve">     </t>
    </r>
    <r>
      <rPr>
        <i/>
        <sz val="12"/>
        <color theme="0"/>
        <rFont val="Times New Roman"/>
        <family val="1"/>
        <charset val="204"/>
      </rPr>
      <t>890</t>
    </r>
    <r>
      <rPr>
        <sz val="12"/>
        <color theme="0"/>
        <rFont val="Times New Roman"/>
        <family val="1"/>
        <charset val="204"/>
      </rPr>
      <t xml:space="preserve"> 
</t>
    </r>
    <r>
      <rPr>
        <sz val="12"/>
        <color theme="1"/>
        <rFont val="Times New Roman"/>
        <family val="1"/>
        <charset val="204"/>
      </rPr>
      <t>Чорвоқ</t>
    </r>
    <r>
      <rPr>
        <sz val="12"/>
        <color theme="0"/>
        <rFont val="Times New Roman"/>
        <family val="1"/>
        <charset val="204"/>
      </rPr>
      <t xml:space="preserve">
     </t>
    </r>
    <r>
      <rPr>
        <i/>
        <sz val="12"/>
        <color theme="0"/>
        <rFont val="Times New Roman"/>
        <family val="1"/>
        <charset val="204"/>
      </rPr>
      <t>2010</t>
    </r>
  </si>
  <si>
    <r>
      <rPr>
        <sz val="12"/>
        <color theme="0"/>
        <rFont val="Times New Roman"/>
        <family val="1"/>
        <charset val="204"/>
      </rPr>
      <t xml:space="preserve">      </t>
    </r>
    <r>
      <rPr>
        <i/>
        <sz val="12"/>
        <color theme="0"/>
        <rFont val="Times New Roman"/>
        <family val="1"/>
        <charset val="204"/>
      </rPr>
      <t>960</t>
    </r>
    <r>
      <rPr>
        <sz val="12"/>
        <color theme="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Тўполанг</t>
    </r>
    <r>
      <rPr>
        <sz val="12"/>
        <color theme="0"/>
        <rFont val="Times New Roman"/>
        <family val="1"/>
        <charset val="204"/>
      </rPr>
      <t xml:space="preserve">
      </t>
    </r>
    <r>
      <rPr>
        <i/>
        <sz val="12"/>
        <color theme="0"/>
        <rFont val="Times New Roman"/>
        <family val="1"/>
        <charset val="204"/>
      </rPr>
      <t>500</t>
    </r>
  </si>
  <si>
    <r>
      <rPr>
        <sz val="12"/>
        <color theme="0"/>
        <rFont val="Times New Roman"/>
        <family val="1"/>
        <charset val="204"/>
      </rPr>
      <t xml:space="preserve">      </t>
    </r>
    <r>
      <rPr>
        <i/>
        <sz val="12"/>
        <color theme="0"/>
        <rFont val="Times New Roman"/>
        <family val="1"/>
        <charset val="204"/>
      </rPr>
      <t>1118</t>
    </r>
    <r>
      <rPr>
        <sz val="12"/>
        <color theme="0"/>
        <rFont val="Times New Roman"/>
        <family val="1"/>
        <charset val="204"/>
      </rPr>
      <t xml:space="preserve">
</t>
    </r>
    <r>
      <rPr>
        <sz val="12"/>
        <color theme="1"/>
        <rFont val="Times New Roman"/>
        <family val="1"/>
        <charset val="204"/>
      </rPr>
      <t>Ҳисорак</t>
    </r>
    <r>
      <rPr>
        <sz val="12"/>
        <color theme="0"/>
        <rFont val="Times New Roman"/>
        <family val="1"/>
        <charset val="204"/>
      </rPr>
      <t xml:space="preserve">
     </t>
    </r>
    <r>
      <rPr>
        <i/>
        <sz val="12"/>
        <color theme="0"/>
        <rFont val="Times New Roman"/>
        <family val="1"/>
        <charset val="204"/>
      </rPr>
      <t>170</t>
    </r>
  </si>
  <si>
    <r>
      <rPr>
        <sz val="12"/>
        <color theme="0"/>
        <rFont val="Times New Roman"/>
        <family val="1"/>
        <charset val="204"/>
      </rPr>
      <t xml:space="preserve">       </t>
    </r>
    <r>
      <rPr>
        <i/>
        <sz val="12"/>
        <color theme="0"/>
        <rFont val="Times New Roman"/>
        <family val="1"/>
        <charset val="204"/>
      </rPr>
      <t>289</t>
    </r>
    <r>
      <rPr>
        <sz val="12"/>
        <color theme="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Сардоба</t>
    </r>
    <r>
      <rPr>
        <sz val="12"/>
        <color theme="0"/>
        <rFont val="Times New Roman"/>
        <family val="1"/>
        <charset val="204"/>
      </rPr>
      <t xml:space="preserve">
</t>
    </r>
    <r>
      <rPr>
        <i/>
        <sz val="12"/>
        <color theme="0"/>
        <rFont val="Times New Roman"/>
        <family val="1"/>
        <charset val="204"/>
      </rPr>
      <t xml:space="preserve">      350,0</t>
    </r>
  </si>
  <si>
    <r>
      <rPr>
        <sz val="12"/>
        <color theme="0"/>
        <rFont val="Times New Roman"/>
        <family val="1"/>
        <charset val="204"/>
      </rPr>
      <t xml:space="preserve">       </t>
    </r>
    <r>
      <rPr>
        <i/>
        <sz val="12"/>
        <color theme="0"/>
        <rFont val="Times New Roman"/>
        <family val="1"/>
        <charset val="204"/>
      </rPr>
      <t>1070,5</t>
    </r>
    <r>
      <rPr>
        <sz val="12"/>
        <color theme="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Оҳангарон</t>
    </r>
    <r>
      <rPr>
        <sz val="12"/>
        <color theme="0"/>
        <rFont val="Times New Roman"/>
        <family val="1"/>
        <charset val="204"/>
      </rPr>
      <t xml:space="preserve">
       </t>
    </r>
    <r>
      <rPr>
        <i/>
        <sz val="12"/>
        <color theme="0"/>
        <rFont val="Times New Roman"/>
        <family val="1"/>
        <charset val="204"/>
      </rPr>
      <t>185,5</t>
    </r>
  </si>
  <si>
    <r>
      <rPr>
        <sz val="12"/>
        <color theme="0"/>
        <rFont val="Times New Roman"/>
        <family val="1"/>
        <charset val="204"/>
      </rPr>
      <t xml:space="preserve">        </t>
    </r>
    <r>
      <rPr>
        <i/>
        <sz val="12"/>
        <color theme="0"/>
        <rFont val="Times New Roman"/>
        <family val="1"/>
        <charset val="204"/>
      </rPr>
      <t>906</t>
    </r>
    <r>
      <rPr>
        <sz val="12"/>
        <color theme="1"/>
        <rFont val="Times New Roman"/>
        <family val="1"/>
        <charset val="204"/>
      </rPr>
      <t xml:space="preserve">
Андижон
</t>
    </r>
    <r>
      <rPr>
        <i/>
        <sz val="12"/>
        <color theme="1"/>
        <rFont val="Times New Roman"/>
        <family val="1"/>
        <charset val="204"/>
      </rPr>
      <t xml:space="preserve">      </t>
    </r>
    <r>
      <rPr>
        <i/>
        <sz val="12"/>
        <color theme="0"/>
        <rFont val="Times New Roman"/>
        <family val="1"/>
        <charset val="204"/>
      </rPr>
      <t>1900</t>
    </r>
  </si>
  <si>
    <r>
      <t xml:space="preserve">фарқи
</t>
    </r>
    <r>
      <rPr>
        <b/>
        <sz val="9"/>
        <color theme="1"/>
        <rFont val="Times New Roman"/>
        <family val="1"/>
        <charset val="204"/>
      </rPr>
      <t>(6-00 га
нис.)</t>
    </r>
  </si>
  <si>
    <t xml:space="preserve">06-00 </t>
  </si>
  <si>
    <r>
      <rPr>
        <b/>
        <sz val="12"/>
        <color theme="1"/>
        <rFont val="Times New Roman"/>
        <family val="1"/>
        <charset val="204"/>
      </rPr>
      <t>чиқиш
м</t>
    </r>
    <r>
      <rPr>
        <b/>
        <vertAlign val="superscript"/>
        <sz val="12"/>
        <color theme="1"/>
        <rFont val="Times New Roman"/>
        <family val="1"/>
        <charset val="204"/>
      </rPr>
      <t>3</t>
    </r>
    <r>
      <rPr>
        <b/>
        <sz val="12"/>
        <color theme="1"/>
        <rFont val="Times New Roman"/>
        <family val="1"/>
        <charset val="204"/>
      </rPr>
      <t>/сек</t>
    </r>
  </si>
  <si>
    <r>
      <t>сувнинг келиши, м</t>
    </r>
    <r>
      <rPr>
        <b/>
        <vertAlign val="superscript"/>
        <sz val="12"/>
        <color theme="1"/>
        <rFont val="Times New Roman"/>
        <family val="1"/>
        <charset val="204"/>
      </rPr>
      <t>3</t>
    </r>
    <r>
      <rPr>
        <b/>
        <sz val="12"/>
        <color theme="1"/>
        <rFont val="Times New Roman"/>
        <family val="1"/>
        <charset val="204"/>
      </rPr>
      <t>/сек</t>
    </r>
  </si>
  <si>
    <r>
      <t>сувнинг ҳажми, млн.м</t>
    </r>
    <r>
      <rPr>
        <b/>
        <vertAlign val="superscript"/>
        <sz val="12"/>
        <color theme="1"/>
        <rFont val="Times New Roman"/>
        <family val="1"/>
        <charset val="204"/>
      </rPr>
      <t>3</t>
    </r>
  </si>
  <si>
    <t>сувнинг сатҳи, м</t>
  </si>
  <si>
    <t>об-ҳаво ҳолати</t>
  </si>
  <si>
    <t>Сув омборлар
номи</t>
  </si>
  <si>
    <r>
      <t xml:space="preserve">Ўзбекгидроэнерго АЖ бошқарувидаги сув омборларда сувнинг келиши ва чиқиши ҳамда 
об-ҳаво холати тўғрисида </t>
    </r>
    <r>
      <rPr>
        <b/>
        <u/>
        <sz val="16"/>
        <color theme="1"/>
        <rFont val="Times New Roman"/>
        <family val="1"/>
        <charset val="204"/>
      </rPr>
      <t>тезкор</t>
    </r>
    <r>
      <rPr>
        <b/>
        <sz val="16"/>
        <color theme="1"/>
        <rFont val="Times New Roman"/>
        <family val="1"/>
        <charset val="204"/>
      </rPr>
      <t xml:space="preserve"> маълумот</t>
    </r>
  </si>
  <si>
    <t>последнее время</t>
  </si>
  <si>
    <t>Период</t>
  </si>
  <si>
    <t>Вспомогательные данные за 6 часов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</si>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</sst>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0.0"/>
    <numFmt numFmtId="165" formatCode="0.000"/>
    <numFmt numFmtId="166" formatCode="_-* #,##0.00\ _s_o_ʻ_m_-;\-* #,##0.00\ _s_o_ʻ_m_-;_-* &quot;-&quot;??\ _s_o_ʻ_m_-;_-@_-"/>
    <numFmt numFmtId="167" formatCode="dd\.mmm"/>
    <numFmt numFmtId="168" formatCode="dd\.mm"/>
    <numFmt numFmtId="169" formatCode="dd\.mm\.yyyy"/>
    <numFmt numFmtId="170" formatCode="dd"/>
    <numFmt numFmtId="171" formatCode="dd\.mm\.yyyy\ \й\и\л"/>
    <numFmt numFmtId="172" formatCode="dd/mm/yy\ h:mm;@"/>
  </numFmts>
  <fonts count="4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sz val="12"/>
      <color rgb="FFC00000"/>
      <name val="Times New Roman"/>
      <family val="1"/>
      <charset val="204"/>
    </font>
    <font>
      <sz val="11"/>
      <color rgb="FFC00000"/>
      <name val="Calibri"/>
      <family val="2"/>
      <charset val="204"/>
      <scheme val="minor"/>
    </font>
    <font>
      <i/>
      <u/>
      <sz val="14"/>
      <color theme="1"/>
      <name val="Calibri"/>
      <family val="2"/>
      <charset val="204"/>
      <scheme val="minor"/>
    </font>
    <font>
      <sz val="14"/>
      <color rgb="FFC00000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color rgb="FFC00000"/>
      <name val="Calibri"/>
      <family val="2"/>
      <charset val="204"/>
      <scheme val="minor"/>
    </font>
    <font>
      <i/>
      <u/>
      <sz val="12"/>
      <color rgb="FFC00000"/>
      <name val="Calibri"/>
      <family val="2"/>
      <charset val="204"/>
      <scheme val="minor"/>
    </font>
    <font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.5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rgb="FFFFFF00"/>
      <name val="Times New Roman"/>
      <family val="1"/>
      <charset val="204"/>
    </font>
    <font>
      <sz val="16"/>
      <name val="Times New Roman"/>
      <family val="1"/>
      <charset val="204"/>
    </font>
    <font>
      <sz val="11"/>
      <name val="Times New Roman"/>
      <family val="1"/>
      <charset val="204"/>
    </font>
    <font>
      <sz val="12.5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.5"/>
      <name val="Times New Roman"/>
      <family val="1"/>
      <charset val="204"/>
    </font>
    <font>
      <b/>
      <sz val="12.5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b/>
      <sz val="18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2"/>
      <color theme="0"/>
      <name val="Times New Roman"/>
      <family val="1"/>
      <charset val="204"/>
    </font>
    <font>
      <i/>
      <sz val="12"/>
      <color theme="0"/>
      <name val="Times New Roman"/>
      <family val="1"/>
      <charset val="204"/>
    </font>
    <font>
      <sz val="12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8"/>
      <color theme="1"/>
      <name val="Times New Roman"/>
      <family val="1"/>
      <charset val="204"/>
    </font>
    <font>
      <b/>
      <sz val="8"/>
      <color theme="1"/>
      <name val="Calibri"/>
      <family val="2"/>
      <charset val="204"/>
      <scheme val="minor"/>
    </font>
    <font>
      <b/>
      <sz val="14"/>
      <color rgb="FFFF0000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b/>
      <sz val="12"/>
      <color rgb="FFFFFF66"/>
      <name val="Times New Roman"/>
      <family val="1"/>
      <charset val="204"/>
    </font>
    <font>
      <b/>
      <vertAlign val="superscript"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b/>
      <u/>
      <sz val="16"/>
      <color theme="1"/>
      <name val="Times New Roman"/>
      <family val="1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9">
    <xf numFmtId="0" fontId="0" fillId="0" borderId="0" xfId="0"/>
    <xf numFmtId="0" fontId="0" fillId="2" borderId="0" xfId="0" applyFill="1" applyProtection="1">
      <protection locked="0"/>
    </xf>
    <xf numFmtId="0" fontId="3" fillId="2" borderId="0" xfId="0" applyFont="1" applyFill="1" applyAlignment="1" applyProtection="1">
      <alignment horizontal="center" wrapText="1"/>
      <protection locked="0"/>
    </xf>
    <xf numFmtId="0" fontId="5" fillId="2" borderId="0" xfId="0" applyFont="1" applyFill="1" applyProtection="1">
      <protection locked="0"/>
    </xf>
    <xf numFmtId="0" fontId="0" fillId="2" borderId="0" xfId="0" applyFill="1" applyAlignment="1" applyProtection="1">
      <alignment wrapText="1"/>
      <protection locked="0"/>
    </xf>
    <xf numFmtId="2" fontId="7" fillId="2" borderId="0" xfId="0" applyNumberFormat="1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1" fontId="8" fillId="2" borderId="0" xfId="0" applyNumberFormat="1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left" indent="1"/>
      <protection locked="0"/>
    </xf>
    <xf numFmtId="0" fontId="5" fillId="2" borderId="0" xfId="0" applyFont="1" applyFill="1" applyAlignment="1" applyProtection="1">
      <alignment horizontal="left" indent="1"/>
      <protection locked="0"/>
    </xf>
    <xf numFmtId="0" fontId="0" fillId="2" borderId="0" xfId="0" applyFill="1" applyAlignment="1" applyProtection="1">
      <alignment horizontal="left" wrapText="1" indent="1"/>
      <protection locked="0"/>
    </xf>
    <xf numFmtId="20" fontId="5" fillId="2" borderId="0" xfId="0" applyNumberFormat="1" applyFont="1" applyFill="1" applyAlignment="1" applyProtection="1">
      <alignment horizontal="left" indent="1"/>
      <protection locked="0"/>
    </xf>
    <xf numFmtId="165" fontId="0" fillId="2" borderId="0" xfId="0" applyNumberFormat="1" applyFill="1" applyAlignment="1" applyProtection="1">
      <alignment horizontal="left" indent="1"/>
      <protection locked="0"/>
    </xf>
    <xf numFmtId="164" fontId="9" fillId="2" borderId="0" xfId="0" applyNumberFormat="1" applyFont="1" applyFill="1" applyAlignment="1" applyProtection="1">
      <alignment horizontal="left" vertical="center" indent="1"/>
      <protection locked="0"/>
    </xf>
    <xf numFmtId="1" fontId="10" fillId="2" borderId="0" xfId="0" applyNumberFormat="1" applyFont="1" applyFill="1" applyAlignment="1" applyProtection="1">
      <alignment horizontal="center" vertical="center" wrapText="1"/>
      <protection locked="0"/>
    </xf>
    <xf numFmtId="164" fontId="9" fillId="2" borderId="0" xfId="0" applyNumberFormat="1" applyFont="1" applyFill="1" applyAlignment="1" applyProtection="1">
      <alignment horizontal="left" vertical="center" wrapText="1" indent="1"/>
      <protection locked="0"/>
    </xf>
    <xf numFmtId="0" fontId="11" fillId="2" borderId="0" xfId="0" applyFont="1" applyFill="1" applyAlignment="1" applyProtection="1">
      <alignment horizontal="left" indent="1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indent="1"/>
      <protection locked="0"/>
    </xf>
    <xf numFmtId="165" fontId="13" fillId="2" borderId="0" xfId="0" applyNumberFormat="1" applyFont="1" applyFill="1" applyAlignment="1" applyProtection="1">
      <alignment horizontal="left" vertical="center" indent="1"/>
      <protection locked="0"/>
    </xf>
    <xf numFmtId="1" fontId="12" fillId="2" borderId="0" xfId="0" applyNumberFormat="1" applyFont="1" applyFill="1" applyAlignment="1" applyProtection="1">
      <alignment horizontal="center" vertical="center" wrapText="1"/>
      <protection locked="0"/>
    </xf>
    <xf numFmtId="165" fontId="13" fillId="2" borderId="0" xfId="0" applyNumberFormat="1" applyFont="1" applyFill="1" applyAlignment="1" applyProtection="1">
      <alignment horizontal="left" vertical="center" wrapText="1" indent="1"/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165" fontId="12" fillId="2" borderId="0" xfId="0" applyNumberFormat="1" applyFont="1" applyFill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6" fontId="7" fillId="2" borderId="0" xfId="0" applyNumberFormat="1" applyFont="1" applyFill="1" applyAlignment="1" applyProtection="1">
      <alignment horizontal="center" vertical="center"/>
      <protection locked="0"/>
    </xf>
    <xf numFmtId="164" fontId="13" fillId="2" borderId="0" xfId="0" applyNumberFormat="1" applyFont="1" applyFill="1" applyAlignment="1" applyProtection="1">
      <alignment horizontal="center" vertical="center"/>
      <protection locked="0"/>
    </xf>
    <xf numFmtId="164" fontId="13" fillId="2" borderId="0" xfId="0" applyNumberFormat="1" applyFont="1" applyFill="1" applyAlignment="1" applyProtection="1">
      <alignment horizontal="center" vertical="center" wrapText="1"/>
      <protection locked="0"/>
    </xf>
    <xf numFmtId="165" fontId="7" fillId="2" borderId="0" xfId="0" applyNumberFormat="1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horizontal="center" vertical="center" wrapText="1"/>
      <protection locked="0"/>
    </xf>
    <xf numFmtId="0" fontId="14" fillId="2" borderId="0" xfId="0" applyFont="1" applyFill="1" applyAlignment="1" applyProtection="1">
      <alignment horizontal="center" vertical="center" wrapText="1"/>
      <protection locked="0"/>
    </xf>
    <xf numFmtId="43" fontId="11" fillId="2" borderId="0" xfId="1" applyFont="1" applyFill="1" applyAlignment="1" applyProtection="1">
      <alignment horizontal="center" vertical="center"/>
      <protection locked="0"/>
    </xf>
    <xf numFmtId="43" fontId="7" fillId="2" borderId="0" xfId="1" applyFont="1" applyFill="1" applyAlignment="1" applyProtection="1">
      <alignment horizontal="center" vertical="center"/>
      <protection locked="0"/>
    </xf>
    <xf numFmtId="2" fontId="6" fillId="2" borderId="0" xfId="0" applyNumberFormat="1" applyFont="1" applyFill="1" applyAlignment="1" applyProtection="1">
      <alignment horizontal="center" vertical="center" wrapText="1"/>
      <protection locked="0"/>
    </xf>
    <xf numFmtId="0" fontId="11" fillId="2" borderId="0" xfId="0" applyFont="1" applyFill="1" applyAlignment="1" applyProtection="1">
      <alignment horizontal="left" vertical="center" indent="1"/>
      <protection locked="0"/>
    </xf>
    <xf numFmtId="2" fontId="11" fillId="2" borderId="0" xfId="0" applyNumberFormat="1" applyFont="1" applyFill="1" applyAlignment="1" applyProtection="1">
      <alignment horizontal="left" vertical="center" indent="1"/>
      <protection locked="0"/>
    </xf>
    <xf numFmtId="43" fontId="11" fillId="2" borderId="0" xfId="1" applyFont="1" applyFill="1" applyAlignment="1" applyProtection="1">
      <alignment horizontal="left" vertical="center" indent="1"/>
      <protection locked="0"/>
    </xf>
    <xf numFmtId="2" fontId="15" fillId="2" borderId="0" xfId="0" applyNumberFormat="1" applyFont="1" applyFill="1" applyAlignment="1" applyProtection="1">
      <alignment horizontal="left" vertical="center" wrapText="1" indent="1"/>
      <protection locked="0"/>
    </xf>
    <xf numFmtId="2" fontId="5" fillId="2" borderId="0" xfId="0" applyNumberFormat="1" applyFont="1" applyFill="1" applyAlignment="1" applyProtection="1">
      <alignment horizontal="left" indent="1"/>
      <protection locked="0"/>
    </xf>
    <xf numFmtId="167" fontId="15" fillId="2" borderId="0" xfId="0" applyNumberFormat="1" applyFont="1" applyFill="1" applyAlignment="1" applyProtection="1">
      <alignment horizontal="center" vertical="center"/>
      <protection locked="0"/>
    </xf>
    <xf numFmtId="164" fontId="16" fillId="2" borderId="0" xfId="0" applyNumberFormat="1" applyFont="1" applyFill="1" applyAlignment="1" applyProtection="1">
      <alignment horizontal="left" vertical="center" wrapText="1" indent="1"/>
      <protection locked="0"/>
    </xf>
    <xf numFmtId="2" fontId="15" fillId="2" borderId="4" xfId="0" applyNumberFormat="1" applyFont="1" applyFill="1" applyBorder="1" applyAlignment="1">
      <alignment horizontal="center" vertical="center" wrapText="1"/>
    </xf>
    <xf numFmtId="0" fontId="16" fillId="2" borderId="4" xfId="0" applyFont="1" applyFill="1" applyBorder="1" applyAlignment="1" applyProtection="1">
      <alignment horizontal="left" vertical="center" wrapText="1" indent="1"/>
      <protection locked="0"/>
    </xf>
    <xf numFmtId="0" fontId="16" fillId="2" borderId="1" xfId="0" applyFont="1" applyFill="1" applyBorder="1" applyAlignment="1" applyProtection="1">
      <alignment horizontal="left" vertical="center" wrapText="1" indent="1"/>
      <protection locked="0"/>
    </xf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164" fontId="19" fillId="2" borderId="0" xfId="0" applyNumberFormat="1" applyFont="1" applyFill="1" applyAlignment="1">
      <alignment horizontal="center" vertical="center" wrapText="1"/>
    </xf>
    <xf numFmtId="164" fontId="16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16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left" vertical="center" indent="1"/>
      <protection locked="0"/>
    </xf>
    <xf numFmtId="164" fontId="16" fillId="0" borderId="1" xfId="0" applyNumberFormat="1" applyFont="1" applyBorder="1" applyAlignment="1" applyProtection="1">
      <alignment horizontal="center" vertical="center" wrapText="1"/>
      <protection locked="0"/>
    </xf>
    <xf numFmtId="164" fontId="25" fillId="2" borderId="6" xfId="0" applyNumberFormat="1" applyFont="1" applyFill="1" applyBorder="1" applyAlignment="1" applyProtection="1">
      <alignment horizontal="center" vertical="center" wrapText="1"/>
      <protection locked="0"/>
    </xf>
    <xf numFmtId="164" fontId="2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left" indent="1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left" vertical="center" indent="1"/>
      <protection locked="0"/>
    </xf>
    <xf numFmtId="2" fontId="16" fillId="0" borderId="1" xfId="0" applyNumberFormat="1" applyFont="1" applyBorder="1" applyAlignment="1" applyProtection="1">
      <alignment horizontal="center" vertical="center" wrapText="1"/>
      <protection locked="0"/>
    </xf>
    <xf numFmtId="2" fontId="16" fillId="2" borderId="4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0" xfId="0" applyNumberFormat="1" applyFont="1" applyFill="1" applyAlignment="1" applyProtection="1">
      <alignment vertical="center"/>
      <protection locked="0"/>
    </xf>
    <xf numFmtId="164" fontId="11" fillId="2" borderId="0" xfId="0" applyNumberFormat="1" applyFont="1" applyFill="1" applyAlignment="1" applyProtection="1">
      <alignment horizontal="left" vertical="center" indent="1"/>
      <protection locked="0"/>
    </xf>
    <xf numFmtId="164" fontId="16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left" wrapText="1" indent="1"/>
      <protection locked="0"/>
    </xf>
    <xf numFmtId="0" fontId="32" fillId="2" borderId="0" xfId="0" applyFont="1" applyFill="1" applyAlignment="1" applyProtection="1">
      <alignment horizontal="center" vertical="top"/>
      <protection locked="0"/>
    </xf>
    <xf numFmtId="167" fontId="33" fillId="2" borderId="0" xfId="0" applyNumberFormat="1" applyFont="1" applyFill="1" applyAlignment="1" applyProtection="1">
      <alignment horizontal="center" vertical="top" wrapText="1"/>
      <protection locked="0"/>
    </xf>
    <xf numFmtId="164" fontId="32" fillId="2" borderId="0" xfId="0" applyNumberFormat="1" applyFont="1" applyFill="1" applyAlignment="1" applyProtection="1">
      <alignment horizontal="center" vertical="top"/>
      <protection locked="0"/>
    </xf>
    <xf numFmtId="0" fontId="34" fillId="2" borderId="0" xfId="0" applyFont="1" applyFill="1" applyAlignment="1" applyProtection="1">
      <alignment horizontal="center" vertical="top" wrapText="1"/>
      <protection locked="0"/>
    </xf>
    <xf numFmtId="0" fontId="15" fillId="2" borderId="0" xfId="0" applyFont="1" applyFill="1" applyAlignment="1" applyProtection="1">
      <alignment horizontal="center" wrapText="1"/>
      <protection locked="0"/>
    </xf>
    <xf numFmtId="168" fontId="28" fillId="2" borderId="4" xfId="0" applyNumberFormat="1" applyFont="1" applyFill="1" applyBorder="1" applyAlignment="1">
      <alignment horizontal="center" vertical="top" wrapText="1"/>
    </xf>
    <xf numFmtId="168" fontId="28" fillId="2" borderId="11" xfId="0" applyNumberFormat="1" applyFont="1" applyFill="1" applyBorder="1" applyAlignment="1">
      <alignment horizontal="center" vertical="top" wrapText="1"/>
    </xf>
    <xf numFmtId="167" fontId="15" fillId="2" borderId="0" xfId="0" applyNumberFormat="1" applyFont="1" applyFill="1" applyAlignment="1" applyProtection="1">
      <alignment horizontal="center" wrapText="1"/>
      <protection locked="0"/>
    </xf>
    <xf numFmtId="164" fontId="0" fillId="2" borderId="0" xfId="0" applyNumberForma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wrapText="1"/>
      <protection locked="0"/>
    </xf>
    <xf numFmtId="0" fontId="36" fillId="2" borderId="0" xfId="0" applyFont="1" applyFill="1" applyAlignment="1" applyProtection="1">
      <alignment horizontal="center" wrapText="1"/>
      <protection locked="0"/>
    </xf>
    <xf numFmtId="0" fontId="37" fillId="2" borderId="0" xfId="0" applyFont="1" applyFill="1" applyAlignment="1" applyProtection="1">
      <alignment horizontal="center" wrapText="1"/>
      <protection locked="0"/>
    </xf>
    <xf numFmtId="0" fontId="15" fillId="2" borderId="10" xfId="0" applyFont="1" applyFill="1" applyBorder="1" applyAlignment="1" applyProtection="1">
      <alignment horizontal="center" wrapText="1"/>
      <protection locked="0"/>
    </xf>
    <xf numFmtId="0" fontId="15" fillId="2" borderId="12" xfId="0" applyFont="1" applyFill="1" applyBorder="1" applyAlignment="1" applyProtection="1">
      <alignment horizontal="center" wrapText="1"/>
      <protection locked="0"/>
    </xf>
    <xf numFmtId="0" fontId="15" fillId="2" borderId="0" xfId="0" applyFont="1" applyFill="1" applyAlignment="1" applyProtection="1">
      <alignment wrapText="1"/>
      <protection locked="0"/>
    </xf>
    <xf numFmtId="169" fontId="41" fillId="2" borderId="0" xfId="0" applyNumberFormat="1" applyFont="1" applyFill="1" applyAlignment="1" applyProtection="1">
      <alignment horizontal="right" indent="1"/>
      <protection locked="0"/>
    </xf>
    <xf numFmtId="0" fontId="18" fillId="2" borderId="7" xfId="0" applyFont="1" applyFill="1" applyBorder="1" applyAlignment="1" applyProtection="1">
      <alignment horizontal="center"/>
      <protection locked="0"/>
    </xf>
    <xf numFmtId="0" fontId="18" fillId="2" borderId="7" xfId="0" applyFont="1" applyFill="1" applyBorder="1" applyProtection="1">
      <protection locked="0"/>
    </xf>
    <xf numFmtId="0" fontId="18" fillId="2" borderId="0" xfId="0" applyFont="1" applyFill="1" applyProtection="1">
      <protection locked="0"/>
    </xf>
    <xf numFmtId="169" fontId="0" fillId="2" borderId="0" xfId="0" applyNumberFormat="1" applyFill="1" applyAlignment="1" applyProtection="1">
      <alignment vertical="center"/>
      <protection locked="0"/>
    </xf>
    <xf numFmtId="47" fontId="42" fillId="2" borderId="0" xfId="0" applyNumberFormat="1" applyFont="1" applyFill="1" applyAlignment="1" applyProtection="1">
      <alignment vertical="center" wrapText="1"/>
      <protection locked="0"/>
    </xf>
    <xf numFmtId="169" fontId="41" fillId="2" borderId="0" xfId="0" applyNumberFormat="1" applyFont="1" applyFill="1" applyAlignment="1" applyProtection="1">
      <alignment horizontal="center" vertical="center"/>
      <protection locked="0"/>
    </xf>
    <xf numFmtId="170" fontId="15" fillId="2" borderId="0" xfId="0" applyNumberFormat="1" applyFont="1" applyFill="1" applyAlignment="1" applyProtection="1">
      <alignment horizontal="center" vertical="center" wrapText="1"/>
      <protection locked="0"/>
    </xf>
    <xf numFmtId="0" fontId="15" fillId="2" borderId="0" xfId="0" applyFont="1" applyFill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 applyProtection="1">
      <alignment horizontal="center" vertical="center" wrapText="1"/>
      <protection locked="0"/>
    </xf>
    <xf numFmtId="49" fontId="20" fillId="2" borderId="0" xfId="0" applyNumberFormat="1" applyFont="1" applyFill="1" applyAlignment="1" applyProtection="1">
      <alignment horizontal="center" vertical="center" wrapText="1"/>
      <protection locked="0"/>
    </xf>
    <xf numFmtId="164" fontId="16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16" fillId="0" borderId="8" xfId="0" applyNumberFormat="1" applyFont="1" applyBorder="1" applyAlignment="1" applyProtection="1">
      <alignment horizontal="center" vertical="center" wrapText="1"/>
      <protection locked="0"/>
    </xf>
    <xf numFmtId="164" fontId="21" fillId="2" borderId="13" xfId="0" applyNumberFormat="1" applyFont="1" applyFill="1" applyBorder="1" applyAlignment="1" applyProtection="1">
      <alignment horizontal="center" vertical="center" wrapText="1"/>
      <protection locked="0"/>
    </xf>
    <xf numFmtId="164" fontId="24" fillId="2" borderId="13" xfId="0" applyNumberFormat="1" applyFont="1" applyFill="1" applyBorder="1" applyAlignment="1" applyProtection="1">
      <alignment horizontal="center" vertical="center" wrapText="1"/>
      <protection locked="0"/>
    </xf>
    <xf numFmtId="164" fontId="22" fillId="2" borderId="13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0" xfId="0" applyNumberFormat="1" applyFont="1" applyFill="1" applyAlignment="1" applyProtection="1">
      <alignment horizontal="center" vertical="center" wrapText="1"/>
      <protection locked="0"/>
    </xf>
    <xf numFmtId="0" fontId="16" fillId="2" borderId="10" xfId="0" applyFont="1" applyFill="1" applyBorder="1" applyAlignment="1" applyProtection="1">
      <alignment horizontal="left" vertical="center" indent="1"/>
      <protection locked="0"/>
    </xf>
    <xf numFmtId="0" fontId="14" fillId="2" borderId="10" xfId="0" applyFont="1" applyFill="1" applyBorder="1" applyAlignment="1" applyProtection="1">
      <alignment horizontal="center" vertical="center" wrapText="1"/>
      <protection locked="0"/>
    </xf>
    <xf numFmtId="2" fontId="16" fillId="2" borderId="10" xfId="0" applyNumberFormat="1" applyFont="1" applyFill="1" applyBorder="1" applyAlignment="1" applyProtection="1">
      <alignment horizontal="center" vertical="center" wrapText="1"/>
      <protection locked="0"/>
    </xf>
    <xf numFmtId="2" fontId="15" fillId="2" borderId="9" xfId="0" applyNumberFormat="1" applyFont="1" applyFill="1" applyBorder="1" applyAlignment="1">
      <alignment vertical="center" wrapText="1"/>
    </xf>
    <xf numFmtId="164" fontId="16" fillId="2" borderId="10" xfId="0" applyNumberFormat="1" applyFont="1" applyFill="1" applyBorder="1" applyAlignment="1" applyProtection="1">
      <alignment horizontal="center" vertical="center" wrapText="1"/>
      <protection locked="0"/>
    </xf>
    <xf numFmtId="164" fontId="16" fillId="2" borderId="10" xfId="0" applyNumberFormat="1" applyFont="1" applyFill="1" applyBorder="1" applyAlignment="1">
      <alignment horizontal="center" vertical="center" wrapText="1"/>
    </xf>
    <xf numFmtId="164" fontId="16" fillId="2" borderId="3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Alignment="1" applyProtection="1">
      <alignment horizontal="center" vertical="center"/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16" fillId="2" borderId="2" xfId="0" applyFont="1" applyFill="1" applyBorder="1" applyAlignment="1" applyProtection="1">
      <alignment horizontal="left" vertical="center" wrapText="1" indent="1"/>
      <protection locked="0"/>
    </xf>
    <xf numFmtId="0" fontId="14" fillId="2" borderId="2" xfId="0" applyFont="1" applyFill="1" applyBorder="1" applyAlignment="1" applyProtection="1">
      <alignment horizontal="center" vertical="center" wrapText="1"/>
      <protection locked="0"/>
    </xf>
    <xf numFmtId="2" fontId="16" fillId="2" borderId="2" xfId="0" applyNumberFormat="1" applyFont="1" applyFill="1" applyBorder="1" applyAlignment="1" applyProtection="1">
      <alignment horizontal="left" vertical="center" wrapText="1" indent="1"/>
      <protection locked="0"/>
    </xf>
    <xf numFmtId="2" fontId="15" fillId="2" borderId="2" xfId="0" applyNumberFormat="1" applyFont="1" applyFill="1" applyBorder="1" applyAlignment="1" applyProtection="1">
      <alignment horizontal="left" vertical="center" wrapText="1" indent="1"/>
      <protection locked="0"/>
    </xf>
    <xf numFmtId="164" fontId="16" fillId="2" borderId="2" xfId="0" applyNumberFormat="1" applyFont="1" applyFill="1" applyBorder="1" applyAlignment="1" applyProtection="1">
      <alignment horizontal="left" vertical="center" wrapText="1" indent="1"/>
      <protection locked="0"/>
    </xf>
    <xf numFmtId="2" fontId="15" fillId="2" borderId="2" xfId="0" applyNumberFormat="1" applyFont="1" applyFill="1" applyBorder="1" applyAlignment="1">
      <alignment horizontal="center" vertical="center" wrapText="1"/>
    </xf>
    <xf numFmtId="164" fontId="17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9" fillId="2" borderId="0" xfId="0" applyNumberFormat="1" applyFont="1" applyFill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vertical="center" wrapText="1"/>
      <protection locked="0"/>
    </xf>
    <xf numFmtId="172" fontId="41" fillId="2" borderId="1" xfId="0" applyNumberFormat="1" applyFont="1" applyFill="1" applyBorder="1"/>
    <xf numFmtId="1" fontId="27" fillId="2" borderId="0" xfId="0" applyNumberFormat="1" applyFont="1" applyFill="1" applyAlignment="1" applyProtection="1">
      <alignment horizontal="center" vertical="center" wrapText="1"/>
      <protection locked="0"/>
    </xf>
    <xf numFmtId="1" fontId="41" fillId="2" borderId="1" xfId="0" applyNumberFormat="1" applyFont="1" applyFill="1" applyBorder="1"/>
    <xf numFmtId="0" fontId="35" fillId="2" borderId="0" xfId="0" applyFont="1" applyFill="1" applyAlignment="1" applyProtection="1">
      <alignment vertical="center" wrapText="1"/>
      <protection locked="0"/>
    </xf>
    <xf numFmtId="1" fontId="27" fillId="2" borderId="0" xfId="0" applyNumberFormat="1" applyFont="1" applyFill="1" applyAlignment="1" applyProtection="1">
      <alignment vertical="center" wrapText="1"/>
      <protection locked="0"/>
    </xf>
    <xf numFmtId="0" fontId="4" fillId="2" borderId="0" xfId="0" applyFont="1" applyFill="1" applyAlignment="1" applyProtection="1">
      <alignment vertical="center" wrapText="1"/>
      <protection locked="0"/>
    </xf>
    <xf numFmtId="0" fontId="4" fillId="2" borderId="0" xfId="0" applyFont="1" applyFill="1" applyAlignment="1" applyProtection="1">
      <alignment horizontal="center" vertical="center" wrapText="1"/>
      <protection locked="0"/>
    </xf>
    <xf numFmtId="43" fontId="11" fillId="2" borderId="0" xfId="1" applyFont="1" applyFill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left" vertical="center"/>
      <protection locked="0"/>
    </xf>
    <xf numFmtId="0" fontId="14" fillId="0" borderId="5" xfId="0" applyFont="1" applyBorder="1" applyAlignment="1" applyProtection="1">
      <alignment horizontal="left" vertical="center"/>
      <protection locked="0"/>
    </xf>
    <xf numFmtId="0" fontId="14" fillId="0" borderId="6" xfId="0" applyFont="1" applyBorder="1" applyAlignment="1" applyProtection="1">
      <alignment horizontal="left" vertical="center"/>
      <protection locked="0"/>
    </xf>
    <xf numFmtId="49" fontId="3" fillId="2" borderId="0" xfId="0" applyNumberFormat="1" applyFont="1" applyFill="1" applyAlignment="1" applyProtection="1">
      <alignment horizontal="center" vertical="center" wrapText="1"/>
      <protection locked="0"/>
    </xf>
    <xf numFmtId="1" fontId="23" fillId="2" borderId="0" xfId="0" applyNumberFormat="1" applyFont="1" applyFill="1" applyAlignment="1" applyProtection="1">
      <alignment horizontal="center" vertical="center" wrapText="1"/>
      <protection locked="0"/>
    </xf>
    <xf numFmtId="164" fontId="21" fillId="2" borderId="0" xfId="0" applyNumberFormat="1" applyFont="1" applyFill="1" applyAlignment="1" applyProtection="1">
      <alignment horizontal="center" vertical="center" wrapText="1"/>
      <protection locked="0"/>
    </xf>
    <xf numFmtId="0" fontId="15" fillId="2" borderId="8" xfId="0" applyFont="1" applyFill="1" applyBorder="1" applyAlignment="1" applyProtection="1">
      <alignment horizontal="center" vertical="center" wrapText="1"/>
      <protection locked="0"/>
    </xf>
    <xf numFmtId="0" fontId="15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171" fontId="41" fillId="2" borderId="7" xfId="0" applyNumberFormat="1" applyFont="1" applyFill="1" applyBorder="1" applyAlignment="1">
      <alignment horizontal="center"/>
    </xf>
    <xf numFmtId="0" fontId="15" fillId="2" borderId="10" xfId="0" applyFont="1" applyFill="1" applyBorder="1" applyAlignment="1" applyProtection="1">
      <alignment horizontal="center" vertical="center" wrapText="1"/>
      <protection locked="0"/>
    </xf>
    <xf numFmtId="0" fontId="15" fillId="2" borderId="9" xfId="0" applyFont="1" applyFill="1" applyBorder="1" applyAlignment="1" applyProtection="1">
      <alignment horizontal="center" vertical="center" wrapText="1"/>
      <protection locked="0"/>
    </xf>
    <xf numFmtId="0" fontId="15" fillId="2" borderId="4" xfId="0" applyFont="1" applyFill="1" applyBorder="1" applyAlignment="1" applyProtection="1">
      <alignment horizontal="center" vertical="center" wrapText="1"/>
      <protection locked="0"/>
    </xf>
    <xf numFmtId="0" fontId="15" fillId="2" borderId="5" xfId="0" applyFont="1" applyFill="1" applyBorder="1" applyAlignment="1" applyProtection="1">
      <alignment horizontal="center" vertical="center"/>
      <protection locked="0"/>
    </xf>
    <xf numFmtId="0" fontId="15" fillId="2" borderId="6" xfId="0" applyFont="1" applyFill="1" applyBorder="1" applyAlignment="1" applyProtection="1">
      <alignment horizontal="center" vertical="center"/>
      <protection locked="0"/>
    </xf>
    <xf numFmtId="0" fontId="15" fillId="2" borderId="8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 wrapText="1"/>
      <protection locked="0"/>
    </xf>
    <xf numFmtId="0" fontId="35" fillId="2" borderId="0" xfId="0" applyFont="1" applyFill="1" applyAlignment="1" applyProtection="1">
      <alignment horizontal="center" vertical="center" wrapText="1"/>
      <protection locked="0"/>
    </xf>
    <xf numFmtId="169" fontId="39" fillId="2" borderId="0" xfId="0" applyNumberFormat="1" applyFont="1" applyFill="1" applyAlignment="1" applyProtection="1">
      <alignment horizontal="center" vertical="center" wrapText="1"/>
      <protection locked="0"/>
    </xf>
    <xf numFmtId="0" fontId="39" fillId="2" borderId="0" xfId="0" applyFont="1" applyFill="1" applyAlignment="1" applyProtection="1">
      <alignment horizontal="center" vertical="center" wrapText="1"/>
      <protection locked="0"/>
    </xf>
    <xf numFmtId="18" fontId="15" fillId="2" borderId="0" xfId="2" applyNumberFormat="1" applyFont="1" applyFill="1" applyBorder="1" applyAlignment="1" applyProtection="1">
      <alignment vertical="center" wrapText="1"/>
      <protection locked="0"/>
    </xf>
    <xf numFmtId="41" fontId="15" fillId="2" borderId="0" xfId="2" applyFont="1" applyFill="1" applyBorder="1" applyAlignment="1" applyProtection="1">
      <alignment vertical="center" wrapText="1"/>
      <protection locked="0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168" fontId="28" fillId="0" borderId="4" xfId="0" applyNumberFormat="1" applyFont="1" applyBorder="1" applyAlignment="1">
      <alignment horizontal="center" vertical="top" wrapText="1"/>
    </xf>
  </cellXfs>
  <cellStyles count="3">
    <cellStyle name="Обычный" xfId="0" builtinId="0"/>
    <cellStyle name="Финансовый" xfId="1" builtinId="3"/>
    <cellStyle name="Финансовый [0]" xfId="2" builtinId="6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115957</xdr:colOff>
      <xdr:row>5</xdr:row>
      <xdr:rowOff>82826</xdr:rowOff>
    </xdr:from>
    <xdr:to>
      <xdr:col>0</xdr:col>
      <xdr:colOff>280276</xdr:colOff>
      <xdr:row>5</xdr:row>
      <xdr:rowOff>239693</xdr:rowOff>
    </xdr:to>
    <xdr:sp macro="" textlink="">
      <xdr:nvSpPr>
        <xdr:cNvPr id="2" name="Равнобедренный треугольник 1">
          <a:extLst>
            <a:ext uri="{FF2B5EF4-FFF2-40B4-BE49-F238E27FC236}">
              <a16:creationId xmlns:a16="http://schemas.microsoft.com/office/drawing/2014/main" id="{3C291340-7046-403A-8679-0E88CFB72A0B}"/>
            </a:ext>
          </a:extLst>
        </xdr:cNvPr>
        <xdr:cNvSpPr/>
      </xdr:nvSpPr>
      <xdr:spPr>
        <a:xfrm flipH="1" flipV="1">
          <a:off x="115957" y="997226"/>
          <a:ext cx="164319" cy="103527"/>
        </a:xfrm>
        <a:prstGeom prst="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ln>
                <a:solidFill>
                  <a:schemeClr val="tx1"/>
                </a:solidFill>
              </a:ln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0</xdr:col>
      <xdr:colOff>107674</xdr:colOff>
      <xdr:row>6</xdr:row>
      <xdr:rowOff>66261</xdr:rowOff>
    </xdr:from>
    <xdr:to>
      <xdr:col>0</xdr:col>
      <xdr:colOff>271993</xdr:colOff>
      <xdr:row>6</xdr:row>
      <xdr:rowOff>223128</xdr:rowOff>
    </xdr:to>
    <xdr:sp macro="" textlink="">
      <xdr:nvSpPr>
        <xdr:cNvPr id="3" name="Равнобедренный треугольник 2">
          <a:extLst>
            <a:ext uri="{FF2B5EF4-FFF2-40B4-BE49-F238E27FC236}">
              <a16:creationId xmlns:a16="http://schemas.microsoft.com/office/drawing/2014/main" id="{733B4781-66E8-427C-BFF9-69D60CABEBAD}"/>
            </a:ext>
          </a:extLst>
        </xdr:cNvPr>
        <xdr:cNvSpPr/>
      </xdr:nvSpPr>
      <xdr:spPr>
        <a:xfrm flipH="1" flipV="1">
          <a:off x="107674" y="1163541"/>
          <a:ext cx="164319" cy="118767"/>
        </a:xfrm>
        <a:prstGeom prst="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ln>
                <a:solidFill>
                  <a:schemeClr val="tx1"/>
                </a:solidFill>
              </a:ln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0</xdr:col>
      <xdr:colOff>82826</xdr:colOff>
      <xdr:row>8</xdr:row>
      <xdr:rowOff>74544</xdr:rowOff>
    </xdr:from>
    <xdr:to>
      <xdr:col>0</xdr:col>
      <xdr:colOff>247145</xdr:colOff>
      <xdr:row>8</xdr:row>
      <xdr:rowOff>231411</xdr:rowOff>
    </xdr:to>
    <xdr:sp macro="" textlink="">
      <xdr:nvSpPr>
        <xdr:cNvPr id="4" name="Равнобедренный треугольник 3">
          <a:extLst>
            <a:ext uri="{FF2B5EF4-FFF2-40B4-BE49-F238E27FC236}">
              <a16:creationId xmlns:a16="http://schemas.microsoft.com/office/drawing/2014/main" id="{133D5530-593D-42A5-B8DF-CB773EC99161}"/>
            </a:ext>
          </a:extLst>
        </xdr:cNvPr>
        <xdr:cNvSpPr/>
      </xdr:nvSpPr>
      <xdr:spPr>
        <a:xfrm flipH="1" flipV="1">
          <a:off x="82826" y="1537584"/>
          <a:ext cx="164319" cy="111147"/>
        </a:xfrm>
        <a:prstGeom prst="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ln>
                <a:solidFill>
                  <a:schemeClr val="tx1"/>
                </a:solidFill>
              </a:ln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0</xdr:col>
      <xdr:colOff>82826</xdr:colOff>
      <xdr:row>9</xdr:row>
      <xdr:rowOff>66261</xdr:rowOff>
    </xdr:from>
    <xdr:to>
      <xdr:col>0</xdr:col>
      <xdr:colOff>247145</xdr:colOff>
      <xdr:row>9</xdr:row>
      <xdr:rowOff>223128</xdr:rowOff>
    </xdr:to>
    <xdr:sp macro="" textlink="">
      <xdr:nvSpPr>
        <xdr:cNvPr id="5" name="Равнобедренный треугольник 4">
          <a:extLst>
            <a:ext uri="{FF2B5EF4-FFF2-40B4-BE49-F238E27FC236}">
              <a16:creationId xmlns:a16="http://schemas.microsoft.com/office/drawing/2014/main" id="{E9371054-E7A5-413E-864F-959454C345AB}"/>
            </a:ext>
          </a:extLst>
        </xdr:cNvPr>
        <xdr:cNvSpPr/>
      </xdr:nvSpPr>
      <xdr:spPr>
        <a:xfrm flipH="1" flipV="1">
          <a:off x="82826" y="1712181"/>
          <a:ext cx="164319" cy="118767"/>
        </a:xfrm>
        <a:prstGeom prst="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ln>
                <a:solidFill>
                  <a:schemeClr val="tx1"/>
                </a:solidFill>
              </a:ln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0</xdr:col>
      <xdr:colOff>99391</xdr:colOff>
      <xdr:row>7</xdr:row>
      <xdr:rowOff>74543</xdr:rowOff>
    </xdr:from>
    <xdr:to>
      <xdr:col>0</xdr:col>
      <xdr:colOff>263710</xdr:colOff>
      <xdr:row>7</xdr:row>
      <xdr:rowOff>231410</xdr:rowOff>
    </xdr:to>
    <xdr:sp macro="" textlink="">
      <xdr:nvSpPr>
        <xdr:cNvPr id="6" name="Равнобедренный треугольник 5">
          <a:extLst>
            <a:ext uri="{FF2B5EF4-FFF2-40B4-BE49-F238E27FC236}">
              <a16:creationId xmlns:a16="http://schemas.microsoft.com/office/drawing/2014/main" id="{4F3EAE97-43F1-422E-9C82-406587D7D68A}"/>
            </a:ext>
          </a:extLst>
        </xdr:cNvPr>
        <xdr:cNvSpPr/>
      </xdr:nvSpPr>
      <xdr:spPr>
        <a:xfrm flipH="1" flipV="1">
          <a:off x="99391" y="1354703"/>
          <a:ext cx="164319" cy="111147"/>
        </a:xfrm>
        <a:prstGeom prst="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ln>
                <a:solidFill>
                  <a:schemeClr val="tx1"/>
                </a:solidFill>
              </a:ln>
              <a:solidFill>
                <a:srgbClr val="FF0000"/>
              </a:solidFill>
            </a:rPr>
            <a:t> </a:t>
          </a:r>
        </a:p>
      </xdr:txBody>
    </xdr:sp>
    <xdr:clientData/>
  </xdr:twoCellAnchor>
  <xdr:twoCellAnchor>
    <xdr:from>
      <xdr:col>0</xdr:col>
      <xdr:colOff>107674</xdr:colOff>
      <xdr:row>6</xdr:row>
      <xdr:rowOff>66261</xdr:rowOff>
    </xdr:from>
    <xdr:to>
      <xdr:col>0</xdr:col>
      <xdr:colOff>271993</xdr:colOff>
      <xdr:row>6</xdr:row>
      <xdr:rowOff>223128</xdr:rowOff>
    </xdr:to>
    <xdr:sp macro="" textlink="">
      <xdr:nvSpPr>
        <xdr:cNvPr id="7" name="Равнобедренный треугольник 6">
          <a:extLst>
            <a:ext uri="{FF2B5EF4-FFF2-40B4-BE49-F238E27FC236}">
              <a16:creationId xmlns:a16="http://schemas.microsoft.com/office/drawing/2014/main" id="{94364541-3390-4ED6-A7AC-72220111D1A0}"/>
            </a:ext>
          </a:extLst>
        </xdr:cNvPr>
        <xdr:cNvSpPr/>
      </xdr:nvSpPr>
      <xdr:spPr>
        <a:xfrm flipH="1" flipV="1">
          <a:off x="107674" y="1163541"/>
          <a:ext cx="164319" cy="118767"/>
        </a:xfrm>
        <a:prstGeom prst="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ln>
                <a:solidFill>
                  <a:schemeClr val="tx1"/>
                </a:solidFill>
              </a:ln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9DC4F-4AAB-4C62-A781-B5F1E85E4F7F}">
  <sheetPr>
    <pageSetUpPr fitToPage="1"/>
  </sheetPr>
  <dimension ref="A1:AU40"/>
  <sheetViews>
    <sheetView showGridLines="0" tabSelected="1" view="pageBreakPreview" zoomScale="77" zoomScaleNormal="100" zoomScaleSheetLayoutView="90" workbookViewId="0">
      <selection activeCell="Q3" sqref="Q3:Q11"/>
    </sheetView>
  </sheetViews>
  <sheetFormatPr defaultColWidth="9.109375" defaultRowHeight="20.399999999999999" x14ac:dyDescent="0.35"/>
  <cols>
    <col min="1" max="1" width="16.109375" style="2" customWidth="1"/>
    <col min="2" max="4" width="8.6640625" style="2" customWidth="1"/>
    <col min="5" max="5" width="8.6640625" style="1" customWidth="1"/>
    <col min="6" max="6" width="8.6640625" style="2" customWidth="1"/>
    <col min="7" max="8" width="9" style="2" customWidth="1"/>
    <col min="9" max="17" width="8.6640625" style="2" customWidth="1"/>
    <col min="18" max="18" width="18.33203125" style="2" bestFit="1" customWidth="1"/>
    <col min="19" max="19" width="14.33203125" style="2" customWidth="1"/>
    <col min="20" max="21" width="7.6640625" style="2" customWidth="1"/>
    <col min="22" max="22" width="41" style="2" customWidth="1"/>
    <col min="23" max="23" width="21.33203125" style="2" customWidth="1"/>
    <col min="24" max="37" width="13.5546875" style="2" customWidth="1"/>
    <col min="38" max="38" width="8.109375" style="1" customWidth="1"/>
    <col min="39" max="39" width="11.5546875" style="1" customWidth="1"/>
    <col min="40" max="40" width="8.109375" style="1" customWidth="1"/>
    <col min="41" max="43" width="21.44140625" style="1" customWidth="1"/>
    <col min="44" max="16384" width="9.109375" style="1"/>
  </cols>
  <sheetData>
    <row r="1" spans="1:47" ht="54.75" customHeight="1" x14ac:dyDescent="0.3">
      <c r="A1" s="133" t="s">
        <v>18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14" t="s">
        <v>19</v>
      </c>
      <c r="S1" s="114" t="s">
        <v>20</v>
      </c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M1" s="83"/>
    </row>
    <row r="2" spans="1:47" ht="16.5" customHeight="1" x14ac:dyDescent="0.35">
      <c r="A2" s="82"/>
      <c r="B2" s="82"/>
      <c r="C2" s="82"/>
      <c r="D2" s="81"/>
      <c r="E2" s="81"/>
      <c r="F2" s="81"/>
      <c r="G2" s="81"/>
      <c r="H2" s="81"/>
      <c r="I2" s="81"/>
      <c r="J2" s="81"/>
      <c r="K2" s="80"/>
      <c r="L2" s="80"/>
      <c r="M2" s="80"/>
      <c r="N2" s="80"/>
      <c r="P2" s="134">
        <f>$R$2</f>
        <v>45983.833333333336</v>
      </c>
      <c r="Q2" s="134"/>
      <c r="R2" s="116">
        <v>45983.833333333336</v>
      </c>
      <c r="S2" s="118">
        <v>2</v>
      </c>
      <c r="T2" s="85"/>
      <c r="U2" s="85"/>
      <c r="V2" s="85"/>
      <c r="W2" s="85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8"/>
    </row>
    <row r="3" spans="1:47" s="55" customFormat="1" ht="38.25" customHeight="1" x14ac:dyDescent="0.3">
      <c r="A3" s="135" t="s">
        <v>17</v>
      </c>
      <c r="B3" s="131" t="s">
        <v>16</v>
      </c>
      <c r="C3" s="132"/>
      <c r="D3" s="138" t="s">
        <v>15</v>
      </c>
      <c r="E3" s="138"/>
      <c r="F3" s="139"/>
      <c r="G3" s="140" t="s">
        <v>14</v>
      </c>
      <c r="H3" s="138"/>
      <c r="I3" s="139"/>
      <c r="J3" s="140" t="s">
        <v>13</v>
      </c>
      <c r="K3" s="138"/>
      <c r="L3" s="138"/>
      <c r="M3" s="138"/>
      <c r="N3" s="138"/>
      <c r="O3" s="138"/>
      <c r="P3" s="139"/>
      <c r="Q3" s="147" t="s">
        <v>12</v>
      </c>
      <c r="R3" s="145"/>
      <c r="S3" s="86"/>
      <c r="T3" s="86"/>
      <c r="U3" s="87"/>
      <c r="V3" s="143"/>
      <c r="W3" s="144"/>
      <c r="X3" s="141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</row>
    <row r="4" spans="1:47" s="55" customFormat="1" ht="24.75" customHeight="1" x14ac:dyDescent="0.4">
      <c r="A4" s="136"/>
      <c r="B4" s="77" t="s">
        <v>11</v>
      </c>
      <c r="C4" s="77" t="str">
        <f>TEXT(HOUR($R$2), "00") &amp; "-00"</f>
        <v>20-00</v>
      </c>
      <c r="D4" s="76" t="s">
        <v>11</v>
      </c>
      <c r="E4" s="77" t="str">
        <f>TEXT(HOUR($R$2), "00") &amp; "-00"</f>
        <v>20-00</v>
      </c>
      <c r="F4" s="135" t="s">
        <v>10</v>
      </c>
      <c r="G4" s="76" t="s">
        <v>11</v>
      </c>
      <c r="H4" s="77" t="str">
        <f>TEXT(HOUR($R$2), "00") &amp; "-00"</f>
        <v>20-00</v>
      </c>
      <c r="I4" s="135" t="s">
        <v>10</v>
      </c>
      <c r="J4" s="76" t="str">
        <f t="shared" ref="J4:M4" si="0">TEXT(MOD(LEFT(K4,2)-$S$2, 24), "00") &amp; "-00"</f>
        <v>10-00</v>
      </c>
      <c r="K4" s="76" t="str">
        <f t="shared" si="0"/>
        <v>12-00</v>
      </c>
      <c r="L4" s="76" t="str">
        <f t="shared" si="0"/>
        <v>14-00</v>
      </c>
      <c r="M4" s="76" t="str">
        <f t="shared" si="0"/>
        <v>16-00</v>
      </c>
      <c r="N4" s="76" t="str">
        <f>TEXT(MOD(LEFT(O4,2)-$S$2, 24), "00") &amp; "-00"</f>
        <v>18-00</v>
      </c>
      <c r="O4" s="77" t="str">
        <f>TEXT(HOUR($R$2), "00") &amp; "-00"</f>
        <v>20-00</v>
      </c>
      <c r="P4" s="135" t="s">
        <v>10</v>
      </c>
      <c r="Q4" s="76" t="str">
        <f>TEXT(HOUR($R$2), "00") &amp; "-00"</f>
        <v>20-00</v>
      </c>
      <c r="R4" s="146"/>
      <c r="S4" s="119"/>
      <c r="T4" s="119"/>
      <c r="U4" s="119"/>
      <c r="V4" s="142"/>
      <c r="W4" s="142"/>
      <c r="X4" s="141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75"/>
      <c r="AM4" s="74"/>
      <c r="AN4" s="73"/>
      <c r="AO4" s="72"/>
      <c r="AP4" s="72"/>
      <c r="AS4" s="71"/>
      <c r="AT4" s="71"/>
      <c r="AU4" s="71"/>
    </row>
    <row r="5" spans="1:47" s="64" customFormat="1" ht="16.5" customHeight="1" x14ac:dyDescent="0.3">
      <c r="A5" s="137"/>
      <c r="B5" s="70">
        <f>IF(HOUR($R$2)&gt;6, INT($R$2), INT($R$2)-1)</f>
        <v>45983</v>
      </c>
      <c r="C5" s="69">
        <f>$R$2</f>
        <v>45983.833333333336</v>
      </c>
      <c r="D5" s="70">
        <f>IF(HOUR($R$2)&gt;6, INT($R$2), INT($R$2)-1)</f>
        <v>45983</v>
      </c>
      <c r="E5" s="69">
        <f>$R$2</f>
        <v>45983.833333333336</v>
      </c>
      <c r="F5" s="137"/>
      <c r="G5" s="70">
        <f>IF(HOUR($R$2)&gt;6, INT($R$2), INT($R$2)-1)</f>
        <v>45983</v>
      </c>
      <c r="H5" s="69">
        <f>$R$2</f>
        <v>45983.833333333336</v>
      </c>
      <c r="I5" s="137"/>
      <c r="J5" s="69">
        <f t="shared" ref="J5:M5" si="1">IF(LEFT(K4, 2)="00", K5-1, K5)</f>
        <v>45983.833333333336</v>
      </c>
      <c r="K5" s="69">
        <f t="shared" si="1"/>
        <v>45983.833333333336</v>
      </c>
      <c r="L5" s="69">
        <f t="shared" si="1"/>
        <v>45983.833333333336</v>
      </c>
      <c r="M5" s="69">
        <f t="shared" si="1"/>
        <v>45983.833333333336</v>
      </c>
      <c r="N5" s="69">
        <f>IF(LEFT(O4, 2)="00", O5-1, O5)</f>
        <v>45983.833333333336</v>
      </c>
      <c r="O5" s="69">
        <f>$R$2</f>
        <v>45983.833333333336</v>
      </c>
      <c r="P5" s="137"/>
      <c r="Q5" s="148">
        <f>$R$2</f>
        <v>45983.833333333336</v>
      </c>
      <c r="R5" s="122" t="s">
        <v>22</v>
      </c>
      <c r="S5" s="121" t="s">
        <v>21</v>
      </c>
      <c r="T5" s="119"/>
      <c r="U5" s="119"/>
      <c r="V5" s="142"/>
      <c r="W5" s="142"/>
      <c r="X5" s="141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7"/>
      <c r="AM5" s="67"/>
      <c r="AN5" s="67"/>
      <c r="AO5" s="66"/>
      <c r="AP5" s="66"/>
      <c r="AS5" s="65"/>
      <c r="AT5" s="65"/>
      <c r="AU5" s="65"/>
    </row>
    <row r="6" spans="1:47" ht="50.1" customHeight="1" x14ac:dyDescent="0.3">
      <c r="A6" s="43" t="s">
        <v>9</v>
      </c>
      <c r="B6" s="45" t="s">
        <v>1</v>
      </c>
      <c r="C6" s="45" t="s">
        <v>1</v>
      </c>
      <c r="D6" s="59">
        <v>897.18</v>
      </c>
      <c r="E6" s="59">
        <v>896.73</v>
      </c>
      <c r="F6" s="42">
        <f>E6-D6</f>
        <v>-0.44999999999993179</v>
      </c>
      <c r="G6" s="59">
        <v>1434.64</v>
      </c>
      <c r="H6" s="59">
        <v>1413.31</v>
      </c>
      <c r="I6" s="42">
        <f>H6-G6</f>
        <v>-21.330000000000155</v>
      </c>
      <c r="J6" s="62">
        <v>121</v>
      </c>
      <c r="K6" s="62">
        <v>93</v>
      </c>
      <c r="L6" s="62">
        <v>98</v>
      </c>
      <c r="M6" s="62">
        <v>101</v>
      </c>
      <c r="N6" s="62">
        <v>103</v>
      </c>
      <c r="O6" s="62">
        <v>104</v>
      </c>
      <c r="P6" s="42">
        <f>O6-S6</f>
        <v>11</v>
      </c>
      <c r="Q6" s="47">
        <v>250</v>
      </c>
      <c r="R6" s="117">
        <v>96</v>
      </c>
      <c r="S6" s="117">
        <v>93</v>
      </c>
      <c r="T6" s="120"/>
      <c r="U6" s="120"/>
      <c r="V6" s="88"/>
      <c r="W6" s="88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57"/>
      <c r="AN6" s="56"/>
    </row>
    <row r="7" spans="1:47" ht="50.1" customHeight="1" x14ac:dyDescent="0.3">
      <c r="A7" s="63" t="s">
        <v>8</v>
      </c>
      <c r="B7" s="45" t="s">
        <v>1</v>
      </c>
      <c r="C7" s="45" t="s">
        <v>1</v>
      </c>
      <c r="D7" s="48">
        <v>1066.1600000000001</v>
      </c>
      <c r="E7" s="48">
        <v>1065.7</v>
      </c>
      <c r="F7" s="42">
        <f t="shared" ref="F7:F11" si="2">E7-D7</f>
        <v>-0.46000000000003638</v>
      </c>
      <c r="G7" s="48">
        <v>165.79</v>
      </c>
      <c r="H7" s="48">
        <v>163.34</v>
      </c>
      <c r="I7" s="42">
        <f t="shared" ref="I7:I11" si="3">H7-G7</f>
        <v>-2.4499999999999886</v>
      </c>
      <c r="J7" s="48">
        <v>4.03</v>
      </c>
      <c r="K7" s="47">
        <v>3.89</v>
      </c>
      <c r="L7" s="47">
        <v>4.03</v>
      </c>
      <c r="M7" s="47">
        <v>4.3099999999999996</v>
      </c>
      <c r="N7" s="48">
        <v>4.17</v>
      </c>
      <c r="O7" s="48">
        <v>4.17</v>
      </c>
      <c r="P7" s="42">
        <f t="shared" ref="P7:P11" si="4">O7-S7</f>
        <v>0.27</v>
      </c>
      <c r="Q7" s="47">
        <v>20</v>
      </c>
      <c r="R7" s="117">
        <v>97</v>
      </c>
      <c r="S7" s="117">
        <v>3.9</v>
      </c>
      <c r="T7" s="120"/>
      <c r="U7" s="120"/>
      <c r="V7" s="88"/>
      <c r="W7" s="88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57"/>
      <c r="AM7" s="56"/>
      <c r="AN7" s="56"/>
    </row>
    <row r="8" spans="1:47" ht="50.1" customHeight="1" x14ac:dyDescent="0.3">
      <c r="A8" s="44" t="s">
        <v>7</v>
      </c>
      <c r="B8" s="45" t="s">
        <v>1</v>
      </c>
      <c r="C8" s="45" t="s">
        <v>1</v>
      </c>
      <c r="D8" s="48">
        <v>287.05</v>
      </c>
      <c r="E8" s="48">
        <v>287.04000000000002</v>
      </c>
      <c r="F8" s="42">
        <f t="shared" si="2"/>
        <v>-9.9999999999909051E-3</v>
      </c>
      <c r="G8" s="48">
        <v>294.92</v>
      </c>
      <c r="H8" s="48">
        <v>294.32</v>
      </c>
      <c r="I8" s="42">
        <f t="shared" si="3"/>
        <v>-0.60000000000002274</v>
      </c>
      <c r="J8" s="47">
        <v>70</v>
      </c>
      <c r="K8" s="47">
        <v>70</v>
      </c>
      <c r="L8" s="47">
        <v>70</v>
      </c>
      <c r="M8" s="47">
        <v>70</v>
      </c>
      <c r="N8" s="47">
        <v>70</v>
      </c>
      <c r="O8" s="47">
        <v>70</v>
      </c>
      <c r="P8" s="42">
        <f t="shared" si="4"/>
        <v>0</v>
      </c>
      <c r="Q8" s="47">
        <v>70</v>
      </c>
      <c r="R8" s="117">
        <v>43</v>
      </c>
      <c r="S8" s="117">
        <v>70</v>
      </c>
      <c r="T8" s="120"/>
      <c r="U8" s="120"/>
      <c r="V8" s="88"/>
      <c r="W8" s="88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61"/>
      <c r="AM8" s="60"/>
      <c r="AN8" s="60"/>
    </row>
    <row r="9" spans="1:47" ht="50.1" customHeight="1" x14ac:dyDescent="0.3">
      <c r="A9" s="44" t="s">
        <v>6</v>
      </c>
      <c r="B9" s="45" t="s">
        <v>1</v>
      </c>
      <c r="C9" s="45" t="s">
        <v>1</v>
      </c>
      <c r="D9" s="48">
        <v>1093.7</v>
      </c>
      <c r="E9" s="48">
        <v>1093.3499999999999</v>
      </c>
      <c r="F9" s="42">
        <f t="shared" si="2"/>
        <v>-0.35000000000013642</v>
      </c>
      <c r="G9" s="48">
        <v>87.405000000000001</v>
      </c>
      <c r="H9" s="48">
        <v>86.48</v>
      </c>
      <c r="I9" s="42">
        <f t="shared" si="3"/>
        <v>-0.92499999999999716</v>
      </c>
      <c r="J9" s="47">
        <v>12.64</v>
      </c>
      <c r="K9" s="47">
        <v>16.39</v>
      </c>
      <c r="L9" s="47">
        <v>12.7</v>
      </c>
      <c r="M9" s="47">
        <v>12.8</v>
      </c>
      <c r="N9" s="47">
        <v>12.7</v>
      </c>
      <c r="O9" s="47">
        <v>16.39</v>
      </c>
      <c r="P9" s="42">
        <f t="shared" si="4"/>
        <v>-9.9999999999980105E-3</v>
      </c>
      <c r="Q9" s="47">
        <v>20</v>
      </c>
      <c r="R9" s="117">
        <v>98</v>
      </c>
      <c r="S9" s="117">
        <v>16.399999999999999</v>
      </c>
      <c r="T9" s="120"/>
      <c r="U9" s="120"/>
      <c r="V9" s="88"/>
      <c r="W9" s="88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57"/>
      <c r="AM9" s="56"/>
      <c r="AN9" s="56"/>
    </row>
    <row r="10" spans="1:47" s="55" customFormat="1" ht="50.1" customHeight="1" x14ac:dyDescent="0.3">
      <c r="A10" s="44" t="s">
        <v>5</v>
      </c>
      <c r="B10" s="45" t="s">
        <v>1</v>
      </c>
      <c r="C10" s="45" t="s">
        <v>1</v>
      </c>
      <c r="D10" s="48">
        <v>950.71500000000003</v>
      </c>
      <c r="E10" s="58">
        <v>950.49</v>
      </c>
      <c r="F10" s="42">
        <f t="shared" si="2"/>
        <v>-0.22500000000002274</v>
      </c>
      <c r="G10" s="58">
        <v>422.51400000000001</v>
      </c>
      <c r="H10" s="48">
        <v>420.83</v>
      </c>
      <c r="I10" s="42">
        <f t="shared" si="3"/>
        <v>-1.6840000000000259</v>
      </c>
      <c r="J10" s="50">
        <v>61.5</v>
      </c>
      <c r="K10" s="50">
        <v>62.5</v>
      </c>
      <c r="L10" s="50">
        <v>60.4</v>
      </c>
      <c r="M10" s="50">
        <v>60</v>
      </c>
      <c r="N10" s="50">
        <v>60.2</v>
      </c>
      <c r="O10" s="50">
        <v>60.4</v>
      </c>
      <c r="P10" s="42">
        <f t="shared" si="4"/>
        <v>-2.1000000000000014</v>
      </c>
      <c r="Q10" s="47">
        <v>80</v>
      </c>
      <c r="R10" s="117">
        <v>99</v>
      </c>
      <c r="S10" s="117">
        <v>62.5</v>
      </c>
      <c r="T10" s="120"/>
      <c r="U10" s="120"/>
      <c r="V10" s="88"/>
      <c r="W10" s="88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57"/>
      <c r="AM10" s="56"/>
      <c r="AN10" s="56"/>
    </row>
    <row r="11" spans="1:47" ht="51" customHeight="1" x14ac:dyDescent="0.3">
      <c r="A11" s="115" t="s">
        <v>4</v>
      </c>
      <c r="B11" s="45" t="s">
        <v>1</v>
      </c>
      <c r="C11" s="45" t="s">
        <v>1</v>
      </c>
      <c r="D11" s="48">
        <v>883.68</v>
      </c>
      <c r="E11" s="48">
        <v>883.47</v>
      </c>
      <c r="F11" s="42">
        <f t="shared" si="2"/>
        <v>-0.20999999999992269</v>
      </c>
      <c r="G11" s="48">
        <v>1761.2</v>
      </c>
      <c r="H11" s="48">
        <v>1752.8</v>
      </c>
      <c r="I11" s="42">
        <f t="shared" si="3"/>
        <v>-8.4000000000000909</v>
      </c>
      <c r="J11" s="47">
        <v>238</v>
      </c>
      <c r="K11" s="47">
        <v>230</v>
      </c>
      <c r="L11" s="47">
        <v>230</v>
      </c>
      <c r="M11" s="47">
        <v>235</v>
      </c>
      <c r="N11" s="47">
        <v>235</v>
      </c>
      <c r="O11" s="47">
        <v>243</v>
      </c>
      <c r="P11" s="42">
        <f t="shared" si="4"/>
        <v>13</v>
      </c>
      <c r="Q11" s="47">
        <v>280</v>
      </c>
      <c r="R11" s="117">
        <v>100</v>
      </c>
      <c r="S11" s="117">
        <v>230</v>
      </c>
      <c r="T11" s="120"/>
      <c r="U11" s="120"/>
      <c r="V11" s="128"/>
      <c r="W11" s="128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8"/>
    </row>
    <row r="12" spans="1:47" s="53" customFormat="1" ht="24.9" customHeight="1" x14ac:dyDescent="0.3">
      <c r="A12" s="125" t="s">
        <v>3</v>
      </c>
      <c r="B12" s="126"/>
      <c r="C12" s="126"/>
      <c r="D12" s="126"/>
      <c r="E12" s="126"/>
      <c r="F12" s="126"/>
      <c r="G12" s="126"/>
      <c r="H12" s="126"/>
      <c r="I12" s="127"/>
      <c r="J12" s="47">
        <v>9</v>
      </c>
      <c r="K12" s="47">
        <v>9</v>
      </c>
      <c r="L12" s="47">
        <v>9</v>
      </c>
      <c r="M12" s="47">
        <v>9</v>
      </c>
      <c r="N12" s="47">
        <v>9</v>
      </c>
      <c r="O12" s="47">
        <v>9</v>
      </c>
      <c r="P12" s="42" t="e">
        <f t="shared" ref="P12:P14" si="5">O12-INDEX(J12:N12, MATCH("06-00", $J$4:$N$4, 0))</f>
        <v>#N/A</v>
      </c>
      <c r="Q12" s="91">
        <v>226</v>
      </c>
      <c r="R12" s="92"/>
      <c r="S12" s="120"/>
      <c r="T12" s="120"/>
      <c r="U12" s="120"/>
      <c r="V12" s="128"/>
      <c r="W12" s="128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54"/>
    </row>
    <row r="13" spans="1:47" ht="50.1" customHeight="1" x14ac:dyDescent="0.3">
      <c r="A13" s="49" t="s">
        <v>2</v>
      </c>
      <c r="B13" s="45" t="s">
        <v>1</v>
      </c>
      <c r="C13" s="45" t="s">
        <v>1</v>
      </c>
      <c r="D13" s="48">
        <v>1008.01</v>
      </c>
      <c r="E13" s="47">
        <v>1007.61</v>
      </c>
      <c r="F13" s="42">
        <f>E13-D13</f>
        <v>-0.39999999999997726</v>
      </c>
      <c r="G13" s="47"/>
      <c r="H13" s="52"/>
      <c r="I13" s="51"/>
      <c r="J13" s="47">
        <v>133.24</v>
      </c>
      <c r="K13" s="50">
        <v>141.43</v>
      </c>
      <c r="L13" s="47">
        <v>141.16</v>
      </c>
      <c r="M13" s="47">
        <v>141.16</v>
      </c>
      <c r="N13" s="47">
        <v>141.03</v>
      </c>
      <c r="O13" s="47">
        <v>143.97</v>
      </c>
      <c r="P13" s="42" t="e">
        <f t="shared" si="5"/>
        <v>#N/A</v>
      </c>
      <c r="Q13" s="90">
        <v>143.97</v>
      </c>
      <c r="R13" s="93"/>
      <c r="S13" s="129"/>
      <c r="T13" s="129"/>
      <c r="U13" s="129"/>
      <c r="V13" s="88"/>
      <c r="W13" s="88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8"/>
    </row>
    <row r="14" spans="1:47" ht="50.1" customHeight="1" x14ac:dyDescent="0.3">
      <c r="A14" s="96" t="s">
        <v>0</v>
      </c>
      <c r="B14" s="97"/>
      <c r="C14" s="97"/>
      <c r="D14" s="98"/>
      <c r="E14" s="98"/>
      <c r="F14" s="99"/>
      <c r="G14" s="100"/>
      <c r="H14" s="100"/>
      <c r="I14" s="100"/>
      <c r="J14" s="101">
        <v>102</v>
      </c>
      <c r="K14" s="101">
        <v>81</v>
      </c>
      <c r="L14" s="101">
        <v>81</v>
      </c>
      <c r="M14" s="101">
        <v>81</v>
      </c>
      <c r="N14" s="101">
        <v>81</v>
      </c>
      <c r="O14" s="101">
        <v>89</v>
      </c>
      <c r="P14" s="42" t="e">
        <f t="shared" si="5"/>
        <v>#N/A</v>
      </c>
      <c r="Q14" s="102">
        <v>89</v>
      </c>
      <c r="R14" s="94"/>
      <c r="S14" s="130"/>
      <c r="T14" s="130"/>
      <c r="U14" s="130"/>
      <c r="V14" s="89"/>
      <c r="W14" s="89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8"/>
    </row>
    <row r="15" spans="1:47" ht="45" customHeight="1" x14ac:dyDescent="0.3">
      <c r="A15" s="106"/>
      <c r="B15" s="106"/>
      <c r="C15" s="107"/>
      <c r="D15" s="108"/>
      <c r="E15" s="106"/>
      <c r="F15" s="109"/>
      <c r="G15" s="110"/>
      <c r="H15" s="110"/>
      <c r="I15" s="109"/>
      <c r="J15" s="106"/>
      <c r="K15" s="106"/>
      <c r="L15" s="106"/>
      <c r="M15" s="106"/>
      <c r="N15" s="106"/>
      <c r="O15" s="106"/>
      <c r="P15" s="111"/>
      <c r="Q15" s="112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8"/>
    </row>
    <row r="16" spans="1:47" ht="33.75" customHeight="1" x14ac:dyDescent="0.3">
      <c r="A16" s="8"/>
      <c r="B16" s="8"/>
      <c r="C16" s="31"/>
      <c r="D16" s="40"/>
      <c r="E16" s="8"/>
      <c r="F16" s="39"/>
      <c r="G16" s="10"/>
      <c r="H16" s="10"/>
      <c r="I16" s="38"/>
      <c r="J16" s="103"/>
      <c r="K16" s="103"/>
      <c r="L16" s="103"/>
      <c r="M16" s="103"/>
      <c r="N16" s="103"/>
      <c r="O16" s="103"/>
      <c r="P16" s="104"/>
      <c r="Q16" s="105"/>
      <c r="R16" s="37"/>
      <c r="S16" s="36"/>
      <c r="T16" s="123"/>
      <c r="U16" s="123"/>
      <c r="V16" s="32"/>
      <c r="W16" s="32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8"/>
    </row>
    <row r="17" spans="1:41" s="23" customFormat="1" ht="17.25" customHeight="1" x14ac:dyDescent="0.3">
      <c r="C17" s="31"/>
      <c r="F17" s="25"/>
      <c r="G17" s="30"/>
      <c r="H17" s="21"/>
      <c r="I17" s="5"/>
      <c r="P17" s="34"/>
      <c r="Q17" s="25"/>
      <c r="R17" s="33"/>
      <c r="S17" s="25"/>
      <c r="T17" s="123"/>
      <c r="U17" s="123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</row>
    <row r="18" spans="1:41" s="23" customFormat="1" ht="15.75" customHeight="1" x14ac:dyDescent="0.3">
      <c r="C18" s="31"/>
      <c r="F18" s="25"/>
      <c r="G18" s="30"/>
      <c r="H18" s="21"/>
      <c r="I18" s="5"/>
      <c r="P18" s="34"/>
      <c r="Q18" s="25"/>
      <c r="R18" s="33"/>
      <c r="S18" s="25"/>
      <c r="T18" s="123"/>
      <c r="U18" s="123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</row>
    <row r="19" spans="1:41" s="23" customFormat="1" ht="17.25" customHeight="1" x14ac:dyDescent="0.3">
      <c r="C19" s="31"/>
      <c r="D19" s="124"/>
      <c r="E19" s="124"/>
      <c r="F19" s="124"/>
      <c r="G19" s="30"/>
      <c r="H19" s="21"/>
      <c r="I19" s="5"/>
      <c r="J19" s="25"/>
      <c r="K19" s="25"/>
      <c r="L19" s="25"/>
      <c r="M19" s="25"/>
      <c r="N19" s="25"/>
      <c r="O19" s="25"/>
      <c r="P19" s="25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</row>
    <row r="20" spans="1:41" s="23" customFormat="1" ht="15.75" customHeight="1" x14ac:dyDescent="0.3">
      <c r="A20" s="27"/>
      <c r="B20" s="27"/>
      <c r="C20" s="27"/>
      <c r="D20" s="27"/>
      <c r="E20" s="27"/>
      <c r="F20" s="5"/>
      <c r="G20" s="28"/>
      <c r="H20" s="21"/>
      <c r="I20" s="5"/>
      <c r="J20" s="27"/>
      <c r="K20" s="27"/>
      <c r="L20" s="27"/>
      <c r="M20" s="27"/>
      <c r="N20" s="27"/>
      <c r="O20" s="27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O20" s="24"/>
    </row>
    <row r="21" spans="1:41" s="23" customFormat="1" ht="15.75" customHeight="1" x14ac:dyDescent="0.3">
      <c r="A21" s="27"/>
      <c r="B21" s="27"/>
      <c r="C21" s="27"/>
      <c r="D21" s="27"/>
      <c r="E21" s="27"/>
      <c r="F21" s="25"/>
      <c r="G21" s="28"/>
      <c r="H21" s="21"/>
      <c r="I21" s="5"/>
      <c r="J21" s="27"/>
      <c r="K21" s="27"/>
      <c r="L21" s="27"/>
      <c r="M21" s="27"/>
      <c r="N21" s="27"/>
      <c r="O21" s="27"/>
      <c r="P21" s="124"/>
      <c r="Q21" s="124"/>
      <c r="R21" s="26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4"/>
    </row>
    <row r="22" spans="1:41" s="17" customFormat="1" ht="15.75" customHeight="1" x14ac:dyDescent="0.3">
      <c r="A22" s="20"/>
      <c r="B22" s="20"/>
      <c r="C22" s="20"/>
      <c r="D22" s="20"/>
      <c r="E22" s="20"/>
      <c r="F22" s="19"/>
      <c r="G22" s="22"/>
      <c r="H22" s="21"/>
      <c r="I22" s="5"/>
      <c r="J22" s="20"/>
      <c r="K22" s="20"/>
      <c r="L22" s="20"/>
      <c r="M22" s="20"/>
      <c r="N22" s="20"/>
      <c r="O22" s="20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8"/>
    </row>
    <row r="23" spans="1:41" ht="18.75" customHeight="1" x14ac:dyDescent="0.35">
      <c r="A23" s="13"/>
      <c r="B23" s="13"/>
      <c r="C23" s="13"/>
      <c r="D23" s="13"/>
      <c r="E23" s="13"/>
      <c r="F23" s="16"/>
      <c r="G23" s="15"/>
      <c r="H23" s="14"/>
      <c r="I23" s="5"/>
      <c r="J23" s="13"/>
      <c r="K23" s="113"/>
      <c r="L23" s="13"/>
      <c r="M23" s="13"/>
      <c r="N23" s="13"/>
      <c r="O23" s="13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8"/>
    </row>
    <row r="24" spans="1:41" ht="15.75" customHeight="1" x14ac:dyDescent="0.3">
      <c r="A24" s="8"/>
      <c r="B24" s="8"/>
      <c r="C24" s="8"/>
      <c r="D24" s="8"/>
      <c r="E24" s="8"/>
      <c r="F24" s="9"/>
      <c r="G24" s="10"/>
      <c r="H24" s="7"/>
      <c r="I24" s="5"/>
      <c r="J24" s="8"/>
      <c r="K24" s="8"/>
      <c r="L24" s="8"/>
      <c r="M24" s="8"/>
      <c r="N24" s="8"/>
      <c r="O24" s="8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12"/>
    </row>
    <row r="25" spans="1:41" ht="15.75" customHeight="1" x14ac:dyDescent="0.3">
      <c r="A25" s="8"/>
      <c r="B25" s="8"/>
      <c r="C25" s="8"/>
      <c r="D25" s="8"/>
      <c r="E25" s="8"/>
      <c r="F25" s="11"/>
      <c r="G25" s="10"/>
      <c r="H25" s="7"/>
      <c r="I25" s="5"/>
      <c r="J25" s="8"/>
      <c r="K25" s="8"/>
      <c r="L25" s="8"/>
      <c r="M25" s="8"/>
      <c r="N25" s="8"/>
      <c r="O25" s="8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8"/>
    </row>
    <row r="26" spans="1:41" ht="15.75" customHeight="1" x14ac:dyDescent="0.3">
      <c r="A26" s="1"/>
      <c r="B26" s="1"/>
      <c r="C26" s="1"/>
      <c r="D26" s="1"/>
      <c r="F26" s="3"/>
      <c r="G26" s="4"/>
      <c r="H26" s="7"/>
      <c r="I26" s="5"/>
      <c r="J26" s="1"/>
      <c r="K26" s="1"/>
      <c r="L26" s="1"/>
      <c r="M26" s="1"/>
      <c r="N26" s="1"/>
      <c r="O26" s="1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41" ht="15.75" customHeight="1" x14ac:dyDescent="0.3">
      <c r="A27" s="1"/>
      <c r="B27" s="1"/>
      <c r="C27" s="1"/>
      <c r="D27" s="1"/>
      <c r="F27" s="3"/>
      <c r="G27" s="4"/>
      <c r="H27" s="7"/>
      <c r="I27" s="5"/>
      <c r="J27" s="1"/>
      <c r="K27" s="1"/>
      <c r="L27" s="1"/>
      <c r="M27" s="1"/>
      <c r="N27" s="1"/>
      <c r="O27" s="1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41" ht="15.75" customHeight="1" x14ac:dyDescent="0.3">
      <c r="A28" s="1"/>
      <c r="B28" s="1"/>
      <c r="C28" s="1"/>
      <c r="D28" s="1"/>
      <c r="F28" s="3"/>
      <c r="G28" s="4"/>
      <c r="H28" s="7"/>
      <c r="I28" s="5"/>
      <c r="J28" s="1"/>
      <c r="K28" s="1"/>
      <c r="L28" s="1"/>
      <c r="M28" s="1"/>
      <c r="N28" s="1"/>
      <c r="O28" s="1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41" ht="22.5" customHeight="1" x14ac:dyDescent="0.3">
      <c r="A29" s="1"/>
      <c r="B29" s="1"/>
      <c r="C29" s="1"/>
      <c r="D29" s="1"/>
      <c r="F29" s="3"/>
      <c r="G29" s="4"/>
      <c r="H29" s="6"/>
      <c r="I29" s="5"/>
      <c r="J29" s="1"/>
      <c r="K29" s="1"/>
      <c r="L29" s="1"/>
      <c r="M29" s="1"/>
      <c r="N29" s="1"/>
      <c r="O29" s="1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41" ht="15.75" customHeight="1" x14ac:dyDescent="0.3">
      <c r="A30" s="1"/>
      <c r="B30" s="1"/>
      <c r="C30" s="1"/>
      <c r="D30" s="1"/>
      <c r="F30" s="3"/>
      <c r="G30" s="4"/>
      <c r="H30" s="6"/>
      <c r="I30" s="5"/>
      <c r="J30" s="1"/>
      <c r="K30" s="1"/>
      <c r="L30" s="1"/>
      <c r="M30" s="1"/>
      <c r="N30" s="1"/>
      <c r="O30" s="1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41" ht="39.75" customHeight="1" x14ac:dyDescent="0.3">
      <c r="A31" s="1"/>
      <c r="B31" s="1"/>
      <c r="C31" s="1"/>
      <c r="D31" s="1"/>
      <c r="F31" s="1"/>
      <c r="G31" s="3"/>
      <c r="H31" s="4"/>
      <c r="I31" s="4"/>
      <c r="J31" s="1"/>
      <c r="K31" s="1"/>
      <c r="L31" s="1"/>
      <c r="M31" s="1"/>
      <c r="N31" s="1"/>
      <c r="O31" s="1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41" ht="22.5" customHeight="1" x14ac:dyDescent="0.3">
      <c r="A32" s="1"/>
      <c r="B32" s="1"/>
      <c r="C32" s="1"/>
      <c r="D32" s="1"/>
      <c r="F32" s="1"/>
      <c r="G32" s="3"/>
      <c r="H32" s="4"/>
      <c r="I32" s="4"/>
      <c r="J32" s="1"/>
      <c r="K32" s="1"/>
      <c r="L32" s="1"/>
      <c r="M32" s="1"/>
      <c r="N32" s="1"/>
      <c r="O32" s="1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5:47" s="2" customFormat="1" ht="22.5" customHeight="1" x14ac:dyDescent="0.35"/>
    <row r="34" spans="5:47" s="2" customFormat="1" ht="22.5" customHeight="1" x14ac:dyDescent="0.35"/>
    <row r="35" spans="5:47" s="2" customFormat="1" ht="22.5" customHeight="1" x14ac:dyDescent="0.35">
      <c r="G35" s="95"/>
    </row>
    <row r="36" spans="5:47" s="2" customFormat="1" ht="22.5" customHeight="1" x14ac:dyDescent="0.35">
      <c r="F36" s="95"/>
    </row>
    <row r="37" spans="5:47" s="2" customFormat="1" ht="22.5" customHeight="1" x14ac:dyDescent="0.35">
      <c r="F37" s="95"/>
    </row>
    <row r="38" spans="5:47" s="2" customFormat="1" ht="22.5" customHeight="1" x14ac:dyDescent="0.35">
      <c r="F38" s="95"/>
    </row>
    <row r="39" spans="5:47" s="2" customFormat="1" x14ac:dyDescent="0.35">
      <c r="E39" s="1"/>
      <c r="F39" s="95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5:47" s="2" customFormat="1" x14ac:dyDescent="0.35">
      <c r="E40" s="1"/>
      <c r="F40" s="95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24">
    <mergeCell ref="X3:X5"/>
    <mergeCell ref="F4:F5"/>
    <mergeCell ref="I4:I5"/>
    <mergeCell ref="P4:P5"/>
    <mergeCell ref="V4:V5"/>
    <mergeCell ref="V3:W3"/>
    <mergeCell ref="W4:W5"/>
    <mergeCell ref="B3:C3"/>
    <mergeCell ref="A1:Q1"/>
    <mergeCell ref="P2:Q2"/>
    <mergeCell ref="A3:A5"/>
    <mergeCell ref="D3:F3"/>
    <mergeCell ref="G3:I3"/>
    <mergeCell ref="J3:P3"/>
    <mergeCell ref="V11:V12"/>
    <mergeCell ref="W11:W12"/>
    <mergeCell ref="S13:U13"/>
    <mergeCell ref="S14:U14"/>
    <mergeCell ref="T17:U17"/>
    <mergeCell ref="T18:U18"/>
    <mergeCell ref="D19:F19"/>
    <mergeCell ref="A12:I12"/>
    <mergeCell ref="P21:Q21"/>
    <mergeCell ref="T16:U16"/>
  </mergeCells>
  <conditionalFormatting sqref="F6:F11 F13">
    <cfRule type="cellIs" dxfId="13" priority="3" operator="lessThan">
      <formula>-100</formula>
    </cfRule>
    <cfRule type="cellIs" dxfId="12" priority="4" operator="greaterThan">
      <formula>100</formula>
    </cfRule>
  </conditionalFormatting>
  <conditionalFormatting sqref="I6:I11 P6:P15">
    <cfRule type="cellIs" dxfId="11" priority="1" operator="lessThan">
      <formula>-100</formula>
    </cfRule>
    <cfRule type="cellIs" dxfId="10" priority="2" operator="greaterThan">
      <formula>100</formula>
    </cfRule>
  </conditionalFormatting>
  <conditionalFormatting sqref="I9">
    <cfRule type="cellIs" dxfId="9" priority="5" operator="lessThan">
      <formula>-50</formula>
    </cfRule>
    <cfRule type="cellIs" dxfId="8" priority="6" operator="greaterThan">
      <formula>50</formula>
    </cfRule>
  </conditionalFormatting>
  <conditionalFormatting sqref="P7">
    <cfRule type="cellIs" dxfId="7" priority="17" operator="lessThan">
      <formula>-2</formula>
    </cfRule>
    <cfRule type="cellIs" dxfId="6" priority="18" operator="greaterThan">
      <formula>2</formula>
    </cfRule>
  </conditionalFormatting>
  <conditionalFormatting sqref="P8">
    <cfRule type="cellIs" dxfId="5" priority="15" operator="lessThan">
      <formula>-50</formula>
    </cfRule>
    <cfRule type="cellIs" dxfId="4" priority="16" operator="greaterThan">
      <formula>50</formula>
    </cfRule>
  </conditionalFormatting>
  <conditionalFormatting sqref="P9">
    <cfRule type="cellIs" dxfId="3" priority="13" operator="lessThan">
      <formula>-10</formula>
    </cfRule>
    <cfRule type="cellIs" dxfId="2" priority="14" operator="greaterThan">
      <formula>10</formula>
    </cfRule>
  </conditionalFormatting>
  <conditionalFormatting sqref="P10">
    <cfRule type="cellIs" dxfId="1" priority="11" operator="lessThan">
      <formula>-50</formula>
    </cfRule>
    <cfRule type="cellIs" dxfId="0" priority="12" operator="greaterThan">
      <formula>50</formula>
    </cfRule>
  </conditionalFormatting>
  <printOptions horizontalCentered="1" verticalCentered="1"/>
  <pageMargins left="0.19685039370078741" right="0.19685039370078741" top="0.35433070866141736" bottom="0.36" header="0.31496062992125984" footer="0.37"/>
  <pageSetup paperSize="9" scale="92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 1</vt:lpstr>
      <vt:lpstr>'Лист 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Sukhrob</dc:creator>
  <cp:lastModifiedBy>Sukhrob</cp:lastModifiedBy>
  <dcterms:created xsi:type="dcterms:W3CDTF">2025-12-18T12:25:17Z</dcterms:created>
  <dcterms:modified xsi:type="dcterms:W3CDTF">2026-02-19T10:10:10Z</dcterms:modified>
</cp:coreProperties>
</file>