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projects\go\srmt-prime\template\"/>
    </mc:Choice>
  </mc:AlternateContent>
  <xr:revisionPtr revIDLastSave="0" documentId="13_ncr:1_{E1649496-954D-4DB8-A288-A35A6D0DCE8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6.12 (P)" sheetId="1" r:id="rId1"/>
  </sheets>
  <definedNames>
    <definedName name="_xlnm.Print_Area" localSheetId="0">'16.12 (P)'!$A$1:$O$26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69060904" val="1230" rev="124" revOS="4" revMin="124" revMax="0"/>
      <pm:docPrefs xmlns:pm="smNativeData" id="1769060904" fixedDigits="0" showNotice="1" showFrameBounds="1" autoChart="1" recalcOnPrint="1" recalcOnCopy="1" finalRounding="1" compatTextArt="1" tab="567" useDefinedPrintRange="1" printArea="currentSheet"/>
      <pm:compatibility xmlns:pm="smNativeData" id="1769060904" overlapCells="1"/>
      <pm:defCurrency xmlns:pm="smNativeData" id="1769060904"/>
    </ext>
  </extLst>
</workbook>
</file>

<file path=xl/calcChain.xml><?xml version="1.0" encoding="utf-8"?>
<calcChain xmlns="http://schemas.openxmlformats.org/spreadsheetml/2006/main">
  <c r="J21" i="1" l="1"/>
  <c r="K21" i="1"/>
  <c r="L21" i="1"/>
  <c r="M21" i="1"/>
  <c r="G21" i="1"/>
  <c r="H21" i="1"/>
  <c r="D21" i="1"/>
  <c r="E21" i="1"/>
  <c r="M7" i="1"/>
  <c r="M9" i="1"/>
  <c r="M11" i="1"/>
  <c r="M13" i="1"/>
  <c r="M15" i="1"/>
  <c r="M17" i="1"/>
  <c r="M19" i="1"/>
  <c r="M23" i="1"/>
  <c r="L23" i="1"/>
  <c r="K23" i="1"/>
  <c r="J23" i="1"/>
  <c r="H23" i="1"/>
  <c r="G23" i="1"/>
  <c r="E23" i="1"/>
  <c r="D23" i="1"/>
  <c r="O23" i="1"/>
  <c r="N23" i="1"/>
  <c r="O21" i="1"/>
  <c r="N21" i="1"/>
  <c r="I19" i="1"/>
  <c r="F19" i="1"/>
  <c r="C19" i="1"/>
  <c r="M18" i="1"/>
  <c r="L18" i="1"/>
  <c r="K18" i="1"/>
  <c r="K19" i="1" s="1"/>
  <c r="J18" i="1"/>
  <c r="J19" i="1" s="1"/>
  <c r="I18" i="1"/>
  <c r="H18" i="1"/>
  <c r="G18" i="1"/>
  <c r="F18" i="1"/>
  <c r="H19" i="1" s="1"/>
  <c r="E18" i="1"/>
  <c r="D18" i="1"/>
  <c r="C18" i="1"/>
  <c r="E19" i="1" s="1"/>
  <c r="O17" i="1"/>
  <c r="N17" i="1"/>
  <c r="L17" i="1"/>
  <c r="K17" i="1"/>
  <c r="J17" i="1"/>
  <c r="H17" i="1"/>
  <c r="G17" i="1"/>
  <c r="E17" i="1"/>
  <c r="D17" i="1"/>
  <c r="O15" i="1"/>
  <c r="N15" i="1"/>
  <c r="L15" i="1"/>
  <c r="K15" i="1"/>
  <c r="J15" i="1"/>
  <c r="H15" i="1"/>
  <c r="G15" i="1"/>
  <c r="E15" i="1"/>
  <c r="D15" i="1"/>
  <c r="O13" i="1"/>
  <c r="N13" i="1"/>
  <c r="L13" i="1"/>
  <c r="K13" i="1"/>
  <c r="J13" i="1"/>
  <c r="H13" i="1"/>
  <c r="G13" i="1"/>
  <c r="E13" i="1"/>
  <c r="D13" i="1"/>
  <c r="L11" i="1"/>
  <c r="K11" i="1"/>
  <c r="J11" i="1"/>
  <c r="H11" i="1"/>
  <c r="G11" i="1"/>
  <c r="E11" i="1"/>
  <c r="D11" i="1"/>
  <c r="O9" i="1"/>
  <c r="N9" i="1"/>
  <c r="L9" i="1"/>
  <c r="K9" i="1"/>
  <c r="J9" i="1"/>
  <c r="H9" i="1"/>
  <c r="G9" i="1"/>
  <c r="E9" i="1"/>
  <c r="D9" i="1"/>
  <c r="O7" i="1"/>
  <c r="N7" i="1"/>
  <c r="L7" i="1"/>
  <c r="K7" i="1"/>
  <c r="J7" i="1"/>
  <c r="H7" i="1"/>
  <c r="G7" i="1"/>
  <c r="E7" i="1"/>
  <c r="D7" i="1"/>
  <c r="O5" i="1"/>
  <c r="N5" i="1"/>
  <c r="M5" i="1"/>
  <c r="L5" i="1"/>
  <c r="K5" i="1"/>
  <c r="J5" i="1"/>
  <c r="H5" i="1"/>
  <c r="G5" i="1"/>
  <c r="E5" i="1"/>
  <c r="D5" i="1"/>
  <c r="I4" i="1"/>
  <c r="F4" i="1"/>
  <c r="C4" i="1"/>
  <c r="B4" i="1"/>
  <c r="G19" i="1" l="1"/>
  <c r="D19" i="1"/>
  <c r="L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</authors>
  <commentList>
    <comment ref="B4" authorId="0" shapeId="0" xr:uid="{00000000-0006-0000-0000-00000A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Xammasi Statikdan fakt malumotlar kiritiladi. Ortachasi soraladi</t>
        </r>
      </text>
    </comment>
    <comment ref="C4" authorId="0" shapeId="0" xr:uid="{00000000-0006-0000-0000-00000B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Statikdan fakt malumotlar kiritiladi. Topolang Allom aka uchun tashlagani kiritiladi</t>
        </r>
      </text>
    </comment>
    <comment ref="F4" authorId="0" shapeId="0" xr:uid="{00000000-0006-0000-0000-00000C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Suv omborlar fakt taxlilni lichkamga tashlaydi. Chorvoqni 00:00 dagi malumot ortacha kelishga kiritiladi.</t>
        </r>
      </text>
    </comment>
    <comment ref="I4" authorId="0" shapeId="0" xr:uid="{00000000-0006-0000-0000-00000D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Statikdan fakt malumotlar kiritiladi. </t>
        </r>
      </text>
    </comment>
    <comment ref="A10" authorId="0" shapeId="0" xr:uid="{00000000-0006-0000-0000-000009000000}">
      <text>
        <r>
          <rPr>
            <b/>
            <sz val="9"/>
            <rFont val="Tahoma"/>
            <family val="2"/>
            <charset val="204"/>
          </rPr>
          <t xml:space="preserve">Nodirbek:
STATICdan kiritiladi
</t>
        </r>
      </text>
    </comment>
    <comment ref="A14" authorId="0" shapeId="0" xr:uid="{00000000-0006-0000-0000-000008000000}">
      <text>
        <r>
          <rPr>
            <b/>
            <sz val="9"/>
            <rFont val="Tahoma"/>
            <family val="2"/>
            <charset val="204"/>
          </rPr>
          <t xml:space="preserve">Nodirbek:
Telegramdan yuboradi
</t>
        </r>
      </text>
    </comment>
    <comment ref="A16" authorId="0" shapeId="0" xr:uid="{00000000-0006-0000-0000-000007000000}">
      <text>
        <r>
          <rPr>
            <b/>
            <sz val="9"/>
            <rFont val="Tahoma"/>
            <family val="2"/>
            <charset val="204"/>
          </rPr>
          <t xml:space="preserve">Nodirbek:
STATICdan kiritiladi
</t>
        </r>
      </text>
    </comment>
    <comment ref="A20" authorId="0" shapeId="0" xr:uid="{00000000-0006-0000-0000-000006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F20" authorId="0" shapeId="0" xr:uid="{00000000-0006-0000-0000-000005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I20" authorId="0" shapeId="0" xr:uid="{00000000-0006-0000-0000-000004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A22" authorId="0" shapeId="0" xr:uid="{00000000-0006-0000-0000-000003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</commentList>
</comments>
</file>

<file path=xl/sharedStrings.xml><?xml version="1.0" encoding="utf-8"?>
<sst xmlns="http://schemas.openxmlformats.org/spreadsheetml/2006/main" count="54" uniqueCount="40">
  <si>
    <r>
      <t xml:space="preserve">Ўзбекгидроэнерго АЖ бошқарувидаги сув омборларнинг кунлик амалда ишлаши тўғрисида </t>
    </r>
    <r>
      <rPr>
        <b/>
        <u/>
        <sz val="16"/>
        <rFont val="Times New Roman"/>
        <family val="1"/>
        <charset val="204"/>
      </rPr>
      <t>тезкор</t>
    </r>
    <r>
      <rPr>
        <b/>
        <sz val="16"/>
        <rFont val="Times New Roman"/>
        <family val="1"/>
        <charset val="204"/>
      </rPr>
      <t xml:space="preserve"> маълумот</t>
    </r>
  </si>
  <si>
    <t>Сув омборлар
номи</t>
  </si>
  <si>
    <t>сатҳи, м</t>
  </si>
  <si>
    <r>
      <t>ҳажми, млн.м</t>
    </r>
    <r>
      <rPr>
        <b/>
        <vertAlign val="superscript"/>
        <sz val="14"/>
        <rFont val="Times New Roman"/>
        <family val="1"/>
        <charset val="204"/>
      </rPr>
      <t>3</t>
    </r>
  </si>
  <si>
    <r>
      <t>келиши, м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>/сек</t>
    </r>
  </si>
  <si>
    <r>
      <t>чиқиши, м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>/сек</t>
    </r>
  </si>
  <si>
    <r>
      <t>шу кунга оқиб келган сув, млн.м</t>
    </r>
    <r>
      <rPr>
        <b/>
        <vertAlign val="superscript"/>
        <sz val="14"/>
        <rFont val="Times New Roman"/>
        <family val="1"/>
        <charset val="204"/>
      </rPr>
      <t>3</t>
    </r>
  </si>
  <si>
    <t>MODSNOW
қор қоплами, %</t>
  </si>
  <si>
    <t>ўтган йилларда 
шу кунга</t>
  </si>
  <si>
    <t>ўтган йилларда
шу кунга</t>
  </si>
  <si>
    <t>(ўрт)</t>
  </si>
  <si>
    <r>
      <rPr>
        <b/>
        <sz val="14"/>
        <rFont val="Times New Roman"/>
        <family val="1"/>
        <charset val="204"/>
      </rPr>
      <t>Андижон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 xml:space="preserve">(НПУ        906 м, 1900 млн.м3)
(УМО       846 м, 147,5 млн.м3)
(ГЭС-1 мin      852.00 м, ҳажм 214 млн.м3)
(ГЭС-2 мin      852.00  м, ҳажм 214 млн.м3)  </t>
    </r>
    <r>
      <rPr>
        <i/>
        <sz val="8"/>
        <rFont val="Times New Roman"/>
        <family val="1"/>
        <charset val="204"/>
      </rPr>
      <t xml:space="preserve">                          </t>
    </r>
  </si>
  <si>
    <t>+0,20</t>
  </si>
  <si>
    <t>+6,00</t>
  </si>
  <si>
    <t>0,0</t>
  </si>
  <si>
    <r>
      <rPr>
        <b/>
        <sz val="14"/>
        <rFont val="Times New Roman"/>
        <family val="1"/>
        <charset val="204"/>
      </rPr>
      <t>Оҳангарон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1070,5 м, 185,5 млн.м3)
(УМО     1010,0 м, 13 млн.м3)
(ГЭС мin     1034.16 м, ҳажм 50,4 млн.м3)</t>
    </r>
  </si>
  <si>
    <t>+0,66</t>
  </si>
  <si>
    <t>+1,51</t>
  </si>
  <si>
    <t xml:space="preserve"> -1,04</t>
  </si>
  <si>
    <r>
      <rPr>
        <b/>
        <sz val="14"/>
        <rFont val="Times New Roman"/>
        <family val="1"/>
        <charset val="204"/>
      </rPr>
      <t>Сардоба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289 м, 350 млн.м3)</t>
    </r>
    <r>
      <rPr>
        <sz val="7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(УМО     277 м, 62 млн.м3)</t>
    </r>
  </si>
  <si>
    <t>+0,08</t>
  </si>
  <si>
    <t>+2,42</t>
  </si>
  <si>
    <r>
      <rPr>
        <b/>
        <sz val="14"/>
        <rFont val="Times New Roman"/>
        <family val="1"/>
        <charset val="204"/>
      </rPr>
      <t>Ҳисорак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 1118 м, 170 млн.м3)
(УМО      1043,65 м, 22,57 млн.м3)
(ГЭС мin      1068.0 м, ҳажм 38,0 млн.м3)</t>
    </r>
  </si>
  <si>
    <t xml:space="preserve"> -0,04</t>
  </si>
  <si>
    <r>
      <rPr>
        <b/>
        <sz val="14"/>
        <rFont val="Times New Roman"/>
        <family val="1"/>
        <charset val="204"/>
      </rPr>
      <t>Тўполанг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960 м, 500 млн.м3)
(УМО     850 м, 30 млн.м3)
(ГЭС мin     884.20 м, ҳажм 100,0 млн.м3)</t>
    </r>
  </si>
  <si>
    <t>+0,09</t>
  </si>
  <si>
    <t>+0,38</t>
  </si>
  <si>
    <t>+1,90</t>
  </si>
  <si>
    <r>
      <rPr>
        <b/>
        <sz val="14"/>
        <rFont val="Times New Roman"/>
        <family val="1"/>
        <charset val="204"/>
      </rPr>
      <t>Чорвоқ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890 м, 2006 млн.м3)
(УМО      835 м, 426 млн.м3)
(ГЭС мin      835.00 м, ҳажм 426 млн.м3)</t>
    </r>
  </si>
  <si>
    <t xml:space="preserve"> -0,28</t>
  </si>
  <si>
    <t xml:space="preserve"> -8,40</t>
  </si>
  <si>
    <t xml:space="preserve"> -14,00</t>
  </si>
  <si>
    <t>+83,00</t>
  </si>
  <si>
    <t>Жами</t>
  </si>
  <si>
    <t xml:space="preserve">Пском </t>
  </si>
  <si>
    <t>+1,78</t>
  </si>
  <si>
    <t xml:space="preserve"> -2,10</t>
  </si>
  <si>
    <t>Чотқол</t>
  </si>
  <si>
    <t>Вазиятлар маркази тезкор навбатчиси</t>
  </si>
  <si>
    <t xml:space="preserve"> -8,39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</si>
</sst>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64" formatCode="[$-419]d\ mmm;@"/>
    <numFmt numFmtId="165" formatCode="0.0"/>
    <numFmt numFmtId="166" formatCode="_-* #\ ##0.00\ _₽_-;\-* #\ ##0.00\ _₽_-;_-* &quot;-&quot;??\ _₽_-;_-@_-"/>
    <numFmt numFmtId="167" formatCode="dd\.mmm"/>
    <numFmt numFmtId="168" formatCode="_-* #,##0.000_-;\-* #,##0.000_-;_-* &quot;-&quot;_-;_-@_-"/>
    <numFmt numFmtId="169" formatCode="dd/mm"/>
    <numFmt numFmtId="170" formatCode="dd\.mm\.yyyy"/>
    <numFmt numFmtId="171" formatCode="[$-419]dd\.mmm"/>
    <numFmt numFmtId="172" formatCode="\+0.00;\-0.00;0"/>
    <numFmt numFmtId="173" formatCode="\+0.0;\-0.0;0"/>
    <numFmt numFmtId="174" formatCode="d\-mmm"/>
    <numFmt numFmtId="175" formatCode="m/d/yyyy"/>
    <numFmt numFmtId="176" formatCode="dd\-mm\-yyyy&quot; йил&quot;"/>
  </numFmts>
  <fonts count="60" x14ac:knownFonts="1"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2060"/>
      <name val="Calibri"/>
      <family val="2"/>
      <charset val="204"/>
    </font>
    <font>
      <b/>
      <sz val="12"/>
      <color rgb="FFFF0000"/>
      <name val="Times New Roman"/>
      <family val="1"/>
      <charset val="204"/>
    </font>
    <font>
      <b/>
      <sz val="16"/>
      <color rgb="FFFF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6"/>
      <color rgb="FF002060"/>
      <name val="Calibri"/>
      <family val="2"/>
      <charset val="204"/>
    </font>
    <font>
      <sz val="11"/>
      <color rgb="FFFFFF00"/>
      <name val="Times New Roman"/>
      <family val="1"/>
      <charset val="204"/>
    </font>
    <font>
      <sz val="8"/>
      <color rgb="FFFFFF00"/>
      <name val="Times New Roman"/>
      <family val="1"/>
      <charset val="204"/>
    </font>
    <font>
      <sz val="12"/>
      <color rgb="FFFFFF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6"/>
      <color rgb="FF002060"/>
      <name val="Times New Roman"/>
      <family val="1"/>
      <charset val="204"/>
    </font>
    <font>
      <sz val="11"/>
      <color rgb="FF00B0F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0"/>
      <color rgb="FFFF0000"/>
      <name val="Times New Roman"/>
      <family val="1"/>
      <charset val="204"/>
    </font>
    <font>
      <i/>
      <sz val="9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i/>
      <sz val="9"/>
      <color rgb="FFFF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b/>
      <i/>
      <sz val="16"/>
      <color rgb="FFFFFF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28"/>
      <color rgb="FFFF0000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u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7"/>
      <name val="Times New Roman"/>
      <family val="1"/>
      <charset val="204"/>
    </font>
    <font>
      <i/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8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41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0" fontId="48" fillId="0" borderId="0"/>
  </cellStyleXfs>
  <cellXfs count="172">
    <xf numFmtId="0" fontId="0" fillId="0" borderId="0" xfId="0"/>
    <xf numFmtId="0" fontId="1" fillId="2" borderId="1" xfId="3" applyFont="1" applyFill="1" applyBorder="1"/>
    <xf numFmtId="0" fontId="2" fillId="2" borderId="1" xfId="3" applyFont="1" applyFill="1" applyBorder="1"/>
    <xf numFmtId="0" fontId="1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Protection="1">
      <protection locked="0"/>
    </xf>
    <xf numFmtId="0" fontId="1" fillId="2" borderId="1" xfId="3" applyFont="1" applyFill="1" applyBorder="1" applyAlignment="1" applyProtection="1">
      <alignment horizontal="center" vertical="center"/>
      <protection locked="0"/>
    </xf>
    <xf numFmtId="0" fontId="2" fillId="2" borderId="1" xfId="3" applyFont="1" applyFill="1" applyBorder="1" applyProtection="1">
      <protection locked="0"/>
    </xf>
    <xf numFmtId="0" fontId="1" fillId="2" borderId="1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 applyProtection="1">
      <alignment horizontal="center" wrapText="1"/>
      <protection locked="0"/>
    </xf>
    <xf numFmtId="164" fontId="5" fillId="2" borderId="1" xfId="3" applyNumberFormat="1" applyFont="1" applyFill="1" applyBorder="1" applyAlignment="1">
      <alignment horizontal="center" wrapText="1"/>
    </xf>
    <xf numFmtId="2" fontId="4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1" fillId="2" borderId="1" xfId="3" applyNumberFormat="1" applyFont="1" applyFill="1" applyBorder="1" applyAlignment="1">
      <alignment horizontal="center" vertical="center"/>
    </xf>
    <xf numFmtId="1" fontId="1" fillId="2" borderId="1" xfId="3" applyNumberFormat="1" applyFont="1" applyFill="1" applyBorder="1" applyAlignment="1">
      <alignment horizontal="center" vertical="center" wrapText="1"/>
    </xf>
    <xf numFmtId="0" fontId="3" fillId="2" borderId="1" xfId="3" applyFont="1" applyFill="1" applyBorder="1" applyAlignment="1" applyProtection="1">
      <alignment horizontal="center" vertical="center" wrapText="1"/>
      <protection locked="0"/>
    </xf>
    <xf numFmtId="2" fontId="1" fillId="2" borderId="1" xfId="3" applyNumberFormat="1" applyFont="1" applyFill="1" applyBorder="1" applyAlignment="1">
      <alignment horizontal="center" vertical="center"/>
    </xf>
    <xf numFmtId="2" fontId="1" fillId="2" borderId="1" xfId="3" applyNumberFormat="1" applyFont="1" applyFill="1" applyBorder="1" applyAlignment="1">
      <alignment horizontal="center" vertical="center" wrapText="1"/>
    </xf>
    <xf numFmtId="0" fontId="8" fillId="2" borderId="1" xfId="3" applyFont="1" applyFill="1" applyBorder="1" applyAlignment="1" applyProtection="1">
      <alignment horizontal="left"/>
      <protection locked="0"/>
    </xf>
    <xf numFmtId="0" fontId="48" fillId="2" borderId="1" xfId="3" applyFill="1" applyBorder="1" applyAlignment="1" applyProtection="1">
      <alignment horizontal="left"/>
      <protection locked="0"/>
    </xf>
    <xf numFmtId="165" fontId="8" fillId="2" borderId="1" xfId="3" applyNumberFormat="1" applyFont="1" applyFill="1" applyBorder="1" applyAlignment="1" applyProtection="1">
      <alignment horizontal="left"/>
      <protection locked="0"/>
    </xf>
    <xf numFmtId="2" fontId="1" fillId="2" borderId="1" xfId="3" applyNumberFormat="1" applyFont="1" applyFill="1" applyBorder="1" applyAlignment="1" applyProtection="1">
      <alignment horizontal="center" vertical="center"/>
      <protection locked="0"/>
    </xf>
    <xf numFmtId="165" fontId="1" fillId="2" borderId="1" xfId="3" applyNumberFormat="1" applyFont="1" applyFill="1" applyBorder="1" applyProtection="1">
      <protection locked="0"/>
    </xf>
    <xf numFmtId="2" fontId="1" fillId="2" borderId="1" xfId="3" applyNumberFormat="1" applyFont="1" applyFill="1" applyBorder="1" applyProtection="1">
      <protection locked="0"/>
    </xf>
    <xf numFmtId="0" fontId="9" fillId="2" borderId="1" xfId="3" applyFont="1" applyFill="1" applyBorder="1"/>
    <xf numFmtId="0" fontId="9" fillId="2" borderId="1" xfId="3" applyFont="1" applyFill="1" applyBorder="1" applyProtection="1">
      <protection locked="0"/>
    </xf>
    <xf numFmtId="0" fontId="10" fillId="2" borderId="1" xfId="3" applyFont="1" applyFill="1" applyBorder="1" applyProtection="1">
      <protection locked="0"/>
    </xf>
    <xf numFmtId="2" fontId="8" fillId="0" borderId="0" xfId="0" applyNumberFormat="1" applyFont="1" applyAlignment="1" applyProtection="1">
      <alignment horizontal="left" vertical="center"/>
      <protection locked="0"/>
    </xf>
    <xf numFmtId="9" fontId="11" fillId="2" borderId="1" xfId="2" applyFont="1" applyFill="1" applyBorder="1" applyAlignment="1">
      <alignment horizontal="center" vertical="center"/>
    </xf>
    <xf numFmtId="165" fontId="11" fillId="2" borderId="1" xfId="3" applyNumberFormat="1" applyFont="1" applyFill="1" applyBorder="1" applyAlignment="1">
      <alignment horizontal="center" vertical="center"/>
    </xf>
    <xf numFmtId="165" fontId="12" fillId="2" borderId="1" xfId="3" applyNumberFormat="1" applyFont="1" applyFill="1" applyBorder="1" applyAlignment="1">
      <alignment horizontal="center" vertical="center"/>
    </xf>
    <xf numFmtId="2" fontId="11" fillId="2" borderId="1" xfId="3" applyNumberFormat="1" applyFont="1" applyFill="1" applyBorder="1" applyAlignment="1">
      <alignment horizontal="center" vertical="center"/>
    </xf>
    <xf numFmtId="2" fontId="11" fillId="2" borderId="1" xfId="4" applyNumberFormat="1" applyFont="1" applyFill="1" applyBorder="1" applyAlignment="1">
      <alignment horizontal="center" vertical="center"/>
    </xf>
    <xf numFmtId="0" fontId="13" fillId="2" borderId="1" xfId="3" applyFont="1" applyFill="1" applyBorder="1" applyAlignment="1">
      <alignment horizontal="center" vertical="center"/>
    </xf>
    <xf numFmtId="2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65" fontId="15" fillId="2" borderId="1" xfId="2" applyNumberFormat="1" applyFont="1" applyFill="1" applyBorder="1" applyAlignment="1" applyProtection="1">
      <alignment horizontal="center" vertical="center"/>
      <protection locked="0"/>
    </xf>
    <xf numFmtId="0" fontId="16" fillId="2" borderId="1" xfId="3" applyFont="1" applyFill="1" applyBorder="1" applyProtection="1">
      <protection locked="0"/>
    </xf>
    <xf numFmtId="0" fontId="8" fillId="2" borderId="1" xfId="3" applyFont="1" applyFill="1" applyBorder="1" applyProtection="1">
      <protection locked="0"/>
    </xf>
    <xf numFmtId="174" fontId="1" fillId="2" borderId="1" xfId="3" applyNumberFormat="1" applyFont="1" applyFill="1" applyBorder="1" applyAlignment="1" applyProtection="1">
      <alignment horizontal="center" vertical="center"/>
      <protection locked="0"/>
    </xf>
    <xf numFmtId="174" fontId="1" fillId="2" borderId="1" xfId="2" applyNumberFormat="1" applyFont="1" applyFill="1" applyBorder="1" applyAlignment="1" applyProtection="1">
      <alignment horizontal="center" vertical="center"/>
      <protection locked="0"/>
    </xf>
    <xf numFmtId="0" fontId="8" fillId="2" borderId="1" xfId="3" applyFont="1" applyFill="1" applyBorder="1" applyAlignment="1" applyProtection="1">
      <alignment vertical="center"/>
      <protection locked="0"/>
    </xf>
    <xf numFmtId="0" fontId="48" fillId="2" borderId="1" xfId="3" applyFill="1" applyBorder="1" applyAlignment="1" applyProtection="1">
      <alignment vertical="center"/>
      <protection locked="0"/>
    </xf>
    <xf numFmtId="165" fontId="16" fillId="2" borderId="1" xfId="3" applyNumberFormat="1" applyFont="1" applyFill="1" applyBorder="1" applyProtection="1">
      <protection locked="0"/>
    </xf>
    <xf numFmtId="165" fontId="8" fillId="2" borderId="1" xfId="3" applyNumberFormat="1" applyFont="1" applyFill="1" applyBorder="1" applyProtection="1">
      <protection locked="0"/>
    </xf>
    <xf numFmtId="2" fontId="12" fillId="2" borderId="1" xfId="3" applyNumberFormat="1" applyFont="1" applyFill="1" applyBorder="1" applyAlignment="1">
      <alignment horizontal="center" vertical="center"/>
    </xf>
    <xf numFmtId="2" fontId="15" fillId="2" borderId="1" xfId="2" applyNumberFormat="1" applyFont="1" applyFill="1" applyBorder="1" applyAlignment="1" applyProtection="1">
      <alignment horizontal="center" vertical="center"/>
      <protection locked="0"/>
    </xf>
    <xf numFmtId="9" fontId="11" fillId="2" borderId="1" xfId="2" applyFont="1" applyFill="1" applyBorder="1" applyAlignment="1" applyProtection="1">
      <alignment horizontal="center" vertical="center"/>
      <protection locked="0"/>
    </xf>
    <xf numFmtId="0" fontId="17" fillId="2" borderId="1" xfId="3" applyFont="1" applyFill="1" applyBorder="1" applyProtection="1">
      <protection locked="0"/>
    </xf>
    <xf numFmtId="2" fontId="18" fillId="2" borderId="1" xfId="3" applyNumberFormat="1" applyFont="1" applyFill="1" applyBorder="1" applyAlignment="1" applyProtection="1">
      <alignment horizontal="center" vertical="center"/>
      <protection locked="0"/>
    </xf>
    <xf numFmtId="2" fontId="18" fillId="2" borderId="1" xfId="3" applyNumberFormat="1" applyFont="1" applyFill="1" applyBorder="1" applyAlignment="1" applyProtection="1">
      <alignment horizontal="center"/>
      <protection locked="0"/>
    </xf>
    <xf numFmtId="0" fontId="11" fillId="2" borderId="1" xfId="3" applyFont="1" applyFill="1" applyBorder="1" applyAlignment="1" applyProtection="1">
      <alignment horizontal="right" vertical="center"/>
      <protection locked="0"/>
    </xf>
    <xf numFmtId="49" fontId="1" fillId="2" borderId="1" xfId="3" applyNumberFormat="1" applyFont="1" applyFill="1" applyBorder="1" applyProtection="1">
      <protection locked="0"/>
    </xf>
    <xf numFmtId="0" fontId="18" fillId="2" borderId="1" xfId="3" applyFont="1" applyFill="1" applyBorder="1" applyProtection="1">
      <protection locked="0"/>
    </xf>
    <xf numFmtId="2" fontId="8" fillId="0" borderId="0" xfId="0" applyNumberFormat="1" applyFont="1" applyAlignment="1" applyProtection="1">
      <alignment vertical="center"/>
      <protection locked="0"/>
    </xf>
    <xf numFmtId="0" fontId="12" fillId="2" borderId="1" xfId="3" applyFont="1" applyFill="1" applyBorder="1"/>
    <xf numFmtId="2" fontId="8" fillId="0" borderId="0" xfId="0" applyNumberFormat="1" applyFont="1" applyProtection="1">
      <protection locked="0"/>
    </xf>
    <xf numFmtId="0" fontId="12" fillId="2" borderId="1" xfId="3" applyFont="1" applyFill="1" applyBorder="1" applyProtection="1">
      <protection locked="0"/>
    </xf>
    <xf numFmtId="49" fontId="19" fillId="0" borderId="0" xfId="3" applyNumberFormat="1" applyFont="1" applyAlignment="1" applyProtection="1">
      <alignment horizontal="center" vertical="center"/>
      <protection locked="0"/>
    </xf>
    <xf numFmtId="49" fontId="20" fillId="2" borderId="1" xfId="3" applyNumberFormat="1" applyFont="1" applyFill="1" applyBorder="1" applyAlignment="1" applyProtection="1">
      <alignment horizontal="center" vertical="center" wrapText="1"/>
      <protection locked="0"/>
    </xf>
    <xf numFmtId="49" fontId="20" fillId="2" borderId="1" xfId="3" applyNumberFormat="1" applyFont="1" applyFill="1" applyBorder="1" applyAlignment="1" applyProtection="1">
      <alignment horizontal="center" vertical="center"/>
      <protection locked="0"/>
    </xf>
    <xf numFmtId="0" fontId="21" fillId="2" borderId="1" xfId="3" applyFont="1" applyFill="1" applyBorder="1" applyAlignment="1" applyProtection="1">
      <alignment horizontal="left" vertical="center" wrapText="1"/>
      <protection locked="0"/>
    </xf>
    <xf numFmtId="174" fontId="22" fillId="2" borderId="1" xfId="3" applyNumberFormat="1" applyFont="1" applyFill="1" applyBorder="1" applyAlignment="1" applyProtection="1">
      <alignment horizontal="center" vertical="center"/>
      <protection locked="0"/>
    </xf>
    <xf numFmtId="2" fontId="12" fillId="2" borderId="1" xfId="3" applyNumberFormat="1" applyFont="1" applyFill="1" applyBorder="1"/>
    <xf numFmtId="165" fontId="23" fillId="2" borderId="1" xfId="3" applyNumberFormat="1" applyFont="1" applyFill="1" applyBorder="1" applyAlignment="1" applyProtection="1">
      <alignment vertical="center"/>
      <protection locked="0"/>
    </xf>
    <xf numFmtId="2" fontId="12" fillId="2" borderId="1" xfId="3" applyNumberFormat="1" applyFont="1" applyFill="1" applyBorder="1" applyProtection="1">
      <protection locked="0"/>
    </xf>
    <xf numFmtId="2" fontId="2" fillId="2" borderId="1" xfId="3" applyNumberFormat="1" applyFont="1" applyFill="1" applyBorder="1" applyProtection="1">
      <protection locked="0"/>
    </xf>
    <xf numFmtId="0" fontId="24" fillId="2" borderId="1" xfId="3" applyFont="1" applyFill="1" applyBorder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horizontal="center"/>
      <protection locked="0"/>
    </xf>
    <xf numFmtId="165" fontId="19" fillId="0" borderId="0" xfId="3" applyNumberFormat="1" applyFont="1" applyAlignment="1" applyProtection="1">
      <alignment horizontal="center" vertical="center"/>
      <protection locked="0"/>
    </xf>
    <xf numFmtId="49" fontId="20" fillId="0" borderId="0" xfId="2" applyNumberFormat="1" applyFont="1" applyAlignment="1" applyProtection="1">
      <alignment horizontal="center" vertical="center" wrapText="1"/>
      <protection locked="0"/>
    </xf>
    <xf numFmtId="49" fontId="20" fillId="0" borderId="0" xfId="3" applyNumberFormat="1" applyFont="1" applyAlignment="1" applyProtection="1">
      <alignment horizontal="center" vertical="center"/>
      <protection locked="0"/>
    </xf>
    <xf numFmtId="49" fontId="20" fillId="0" borderId="0" xfId="3" applyNumberFormat="1" applyFont="1" applyAlignment="1" applyProtection="1">
      <alignment horizontal="center" vertical="center" wrapText="1"/>
      <protection locked="0"/>
    </xf>
    <xf numFmtId="49" fontId="25" fillId="0" borderId="0" xfId="3" applyNumberFormat="1" applyFont="1" applyAlignment="1" applyProtection="1">
      <alignment horizontal="center" vertical="center" wrapText="1"/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65" fontId="14" fillId="3" borderId="2" xfId="3" applyNumberFormat="1" applyFont="1" applyFill="1" applyBorder="1" applyAlignment="1" applyProtection="1">
      <alignment horizontal="center" vertical="center" wrapText="1"/>
      <protection locked="0"/>
    </xf>
    <xf numFmtId="165" fontId="27" fillId="4" borderId="3" xfId="3" applyNumberFormat="1" applyFont="1" applyFill="1" applyBorder="1" applyAlignment="1" applyProtection="1">
      <alignment horizontal="center" vertical="center" wrapText="1"/>
      <protection locked="0"/>
    </xf>
    <xf numFmtId="2" fontId="29" fillId="2" borderId="1" xfId="3" applyNumberFormat="1" applyFont="1" applyFill="1" applyBorder="1" applyAlignment="1" applyProtection="1">
      <alignment vertical="center"/>
      <protection locked="0"/>
    </xf>
    <xf numFmtId="165" fontId="23" fillId="2" borderId="1" xfId="3" applyNumberFormat="1" applyFont="1" applyFill="1" applyBorder="1" applyAlignment="1" applyProtection="1">
      <alignment horizontal="center" vertical="center"/>
      <protection locked="0"/>
    </xf>
    <xf numFmtId="2" fontId="30" fillId="2" borderId="1" xfId="3" applyNumberFormat="1" applyFont="1" applyFill="1" applyBorder="1"/>
    <xf numFmtId="1" fontId="30" fillId="2" borderId="1" xfId="3" applyNumberFormat="1" applyFont="1" applyFill="1" applyBorder="1"/>
    <xf numFmtId="2" fontId="30" fillId="2" borderId="1" xfId="3" applyNumberFormat="1" applyFont="1" applyFill="1" applyBorder="1" applyProtection="1">
      <protection locked="0"/>
    </xf>
    <xf numFmtId="2" fontId="31" fillId="2" borderId="1" xfId="3" applyNumberFormat="1" applyFont="1" applyFill="1" applyBorder="1" applyProtection="1">
      <protection locked="0"/>
    </xf>
    <xf numFmtId="2" fontId="23" fillId="2" borderId="1" xfId="3" applyNumberFormat="1" applyFont="1" applyFill="1" applyBorder="1" applyAlignment="1" applyProtection="1">
      <alignment horizontal="center" vertical="center"/>
      <protection locked="0"/>
    </xf>
    <xf numFmtId="0" fontId="32" fillId="2" borderId="1" xfId="3" applyFont="1" applyFill="1" applyBorder="1"/>
    <xf numFmtId="0" fontId="32" fillId="2" borderId="1" xfId="3" applyFont="1" applyFill="1" applyBorder="1" applyProtection="1">
      <protection locked="0"/>
    </xf>
    <xf numFmtId="0" fontId="31" fillId="2" borderId="1" xfId="3" applyFont="1" applyFill="1" applyBorder="1" applyProtection="1">
      <protection locked="0"/>
    </xf>
    <xf numFmtId="0" fontId="5" fillId="2" borderId="1" xfId="2" applyNumberFormat="1" applyFont="1" applyFill="1" applyBorder="1" applyAlignment="1" applyProtection="1">
      <alignment horizontal="center" vertical="center"/>
      <protection locked="0"/>
    </xf>
    <xf numFmtId="165" fontId="33" fillId="2" borderId="1" xfId="3" applyNumberFormat="1" applyFont="1" applyFill="1" applyBorder="1" applyAlignment="1" applyProtection="1">
      <alignment horizontal="center" vertical="center"/>
      <protection locked="0"/>
    </xf>
    <xf numFmtId="165" fontId="34" fillId="8" borderId="7" xfId="2" applyNumberFormat="1" applyFont="1" applyFill="1" applyBorder="1" applyAlignment="1" applyProtection="1">
      <alignment horizontal="center" vertical="center" wrapText="1"/>
      <protection locked="0"/>
    </xf>
    <xf numFmtId="165" fontId="19" fillId="8" borderId="7" xfId="3" applyNumberFormat="1" applyFont="1" applyFill="1" applyBorder="1" applyAlignment="1" applyProtection="1">
      <alignment horizontal="center" vertical="center"/>
      <protection locked="0"/>
    </xf>
    <xf numFmtId="9" fontId="19" fillId="8" borderId="7" xfId="2" applyFont="1" applyFill="1" applyBorder="1" applyAlignment="1" applyProtection="1">
      <alignment horizontal="center" vertical="center" wrapText="1"/>
      <protection locked="0"/>
    </xf>
    <xf numFmtId="2" fontId="1" fillId="2" borderId="1" xfId="3" applyNumberFormat="1" applyFont="1" applyFill="1" applyBorder="1"/>
    <xf numFmtId="2" fontId="36" fillId="2" borderId="1" xfId="2" applyNumberFormat="1" applyFont="1" applyFill="1" applyBorder="1" applyAlignment="1" applyProtection="1">
      <alignment horizontal="center" vertical="center"/>
      <protection locked="0"/>
    </xf>
    <xf numFmtId="2" fontId="37" fillId="2" borderId="1" xfId="2" applyNumberFormat="1" applyFont="1" applyFill="1" applyBorder="1" applyAlignment="1" applyProtection="1">
      <alignment horizontal="center" vertical="center"/>
      <protection locked="0"/>
    </xf>
    <xf numFmtId="2" fontId="38" fillId="2" borderId="1" xfId="2" applyNumberFormat="1" applyFont="1" applyFill="1" applyBorder="1" applyAlignment="1" applyProtection="1">
      <alignment horizontal="center" vertical="center"/>
      <protection locked="0"/>
    </xf>
    <xf numFmtId="2" fontId="33" fillId="2" borderId="1" xfId="3" applyNumberFormat="1" applyFont="1" applyFill="1" applyBorder="1" applyAlignment="1" applyProtection="1">
      <alignment horizontal="center" vertical="center"/>
      <protection locked="0"/>
    </xf>
    <xf numFmtId="2" fontId="26" fillId="2" borderId="1" xfId="3" applyNumberFormat="1" applyFont="1" applyFill="1" applyBorder="1" applyAlignment="1" applyProtection="1">
      <alignment horizontal="center" vertical="center"/>
      <protection locked="0"/>
    </xf>
    <xf numFmtId="2" fontId="27" fillId="4" borderId="3" xfId="3" applyNumberFormat="1" applyFont="1" applyFill="1" applyBorder="1" applyAlignment="1" applyProtection="1">
      <alignment horizontal="center" vertical="center" wrapText="1"/>
      <protection locked="0"/>
    </xf>
    <xf numFmtId="165" fontId="14" fillId="5" borderId="4" xfId="3" applyNumberFormat="1" applyFont="1" applyFill="1" applyBorder="1" applyAlignment="1" applyProtection="1">
      <alignment horizontal="center" vertical="center" wrapText="1"/>
      <protection locked="0"/>
    </xf>
    <xf numFmtId="165" fontId="14" fillId="6" borderId="5" xfId="3" applyNumberFormat="1" applyFont="1" applyFill="1" applyBorder="1" applyAlignment="1" applyProtection="1">
      <alignment horizontal="center" vertical="center" wrapText="1"/>
      <protection locked="0"/>
    </xf>
    <xf numFmtId="174" fontId="39" fillId="2" borderId="1" xfId="2" applyNumberFormat="1" applyFont="1" applyFill="1" applyBorder="1" applyAlignment="1" applyProtection="1">
      <alignment horizontal="center" vertical="center"/>
      <protection locked="0"/>
    </xf>
    <xf numFmtId="174" fontId="2" fillId="2" borderId="1" xfId="2" applyNumberFormat="1" applyFont="1" applyFill="1" applyBorder="1" applyAlignment="1" applyProtection="1">
      <alignment horizontal="center" vertical="center"/>
      <protection locked="0"/>
    </xf>
    <xf numFmtId="165" fontId="40" fillId="2" borderId="1" xfId="2" applyNumberFormat="1" applyFont="1" applyFill="1" applyBorder="1" applyAlignment="1" applyProtection="1">
      <alignment vertical="center"/>
      <protection locked="0"/>
    </xf>
    <xf numFmtId="2" fontId="32" fillId="2" borderId="1" xfId="3" applyNumberFormat="1" applyFont="1" applyFill="1" applyBorder="1"/>
    <xf numFmtId="2" fontId="41" fillId="2" borderId="1" xfId="2" applyNumberFormat="1" applyFont="1" applyFill="1" applyBorder="1" applyAlignment="1" applyProtection="1">
      <alignment horizontal="center" vertical="center"/>
      <protection locked="0"/>
    </xf>
    <xf numFmtId="2" fontId="42" fillId="2" borderId="1" xfId="2" applyNumberFormat="1" applyFont="1" applyFill="1" applyBorder="1" applyAlignment="1" applyProtection="1">
      <alignment horizontal="center" vertical="center"/>
      <protection locked="0"/>
    </xf>
    <xf numFmtId="2" fontId="40" fillId="2" borderId="1" xfId="2" applyNumberFormat="1" applyFont="1" applyFill="1" applyBorder="1" applyAlignment="1" applyProtection="1">
      <alignment horizontal="center" vertical="center"/>
      <protection locked="0"/>
    </xf>
    <xf numFmtId="0" fontId="5" fillId="2" borderId="1" xfId="3" applyFont="1" applyFill="1" applyBorder="1" applyAlignment="1" applyProtection="1">
      <alignment horizontal="center" vertical="center"/>
      <protection locked="0"/>
    </xf>
    <xf numFmtId="2" fontId="43" fillId="2" borderId="1" xfId="3" applyNumberFormat="1" applyFont="1" applyFill="1" applyBorder="1" applyAlignment="1" applyProtection="1">
      <alignment horizontal="center" vertical="center"/>
      <protection locked="0"/>
    </xf>
    <xf numFmtId="165" fontId="27" fillId="7" borderId="6" xfId="3" applyNumberFormat="1" applyFont="1" applyFill="1" applyBorder="1" applyAlignment="1" applyProtection="1">
      <alignment horizontal="center" vertical="center" wrapText="1"/>
      <protection locked="0"/>
    </xf>
    <xf numFmtId="2" fontId="5" fillId="2" borderId="1" xfId="3" applyNumberFormat="1" applyFont="1" applyFill="1" applyBorder="1" applyAlignment="1" applyProtection="1">
      <alignment horizontal="center" vertical="center"/>
      <protection locked="0"/>
    </xf>
    <xf numFmtId="174" fontId="39" fillId="2" borderId="1" xfId="3" applyNumberFormat="1" applyFont="1" applyFill="1" applyBorder="1" applyAlignment="1" applyProtection="1">
      <alignment horizontal="center" vertical="center"/>
      <protection locked="0"/>
    </xf>
    <xf numFmtId="174" fontId="2" fillId="2" borderId="1" xfId="3" applyNumberFormat="1" applyFont="1" applyFill="1" applyBorder="1" applyAlignment="1" applyProtection="1">
      <alignment horizontal="center" vertical="center"/>
      <protection locked="0"/>
    </xf>
    <xf numFmtId="2" fontId="14" fillId="0" borderId="8" xfId="3" applyNumberFormat="1" applyFont="1" applyBorder="1" applyAlignment="1" applyProtection="1">
      <alignment horizontal="center" vertical="center" wrapText="1"/>
      <protection locked="0"/>
    </xf>
    <xf numFmtId="2" fontId="27" fillId="0" borderId="9" xfId="3" applyNumberFormat="1" applyFont="1" applyBorder="1" applyAlignment="1" applyProtection="1">
      <alignment horizontal="center" vertical="center" wrapText="1"/>
      <protection locked="0"/>
    </xf>
    <xf numFmtId="174" fontId="36" fillId="2" borderId="1" xfId="3" applyNumberFormat="1" applyFont="1" applyFill="1" applyBorder="1" applyAlignment="1" applyProtection="1">
      <alignment horizontal="center" vertical="center"/>
      <protection locked="0"/>
    </xf>
    <xf numFmtId="174" fontId="37" fillId="2" borderId="1" xfId="3" applyNumberFormat="1" applyFont="1" applyFill="1" applyBorder="1" applyAlignment="1" applyProtection="1">
      <alignment horizontal="center" vertical="center"/>
      <protection locked="0"/>
    </xf>
    <xf numFmtId="174" fontId="38" fillId="2" borderId="1" xfId="3" applyNumberFormat="1" applyFont="1" applyFill="1" applyBorder="1" applyAlignment="1" applyProtection="1">
      <alignment horizontal="center" vertical="center"/>
      <protection locked="0"/>
    </xf>
    <xf numFmtId="167" fontId="26" fillId="9" borderId="10" xfId="5" applyNumberFormat="1" applyFont="1" applyFill="1" applyBorder="1" applyAlignment="1" applyProtection="1">
      <alignment horizontal="center" vertical="top"/>
      <protection locked="0"/>
    </xf>
    <xf numFmtId="0" fontId="44" fillId="2" borderId="1" xfId="3" applyFont="1" applyFill="1" applyBorder="1" applyAlignment="1" applyProtection="1">
      <alignment horizontal="center" vertical="center"/>
      <protection locked="0"/>
    </xf>
    <xf numFmtId="0" fontId="1" fillId="2" borderId="1" xfId="3" applyFont="1" applyFill="1" applyBorder="1" applyAlignment="1" applyProtection="1">
      <alignment vertical="center"/>
      <protection locked="0"/>
    </xf>
    <xf numFmtId="165" fontId="45" fillId="2" borderId="1" xfId="0" applyNumberFormat="1" applyFont="1" applyFill="1" applyBorder="1" applyAlignment="1">
      <alignment horizontal="center" vertical="center"/>
    </xf>
    <xf numFmtId="168" fontId="20" fillId="10" borderId="11" xfId="1" applyNumberFormat="1" applyFont="1" applyFill="1" applyBorder="1" applyAlignment="1" applyProtection="1">
      <alignment horizontal="center" vertical="center"/>
      <protection locked="0"/>
    </xf>
    <xf numFmtId="169" fontId="1" fillId="2" borderId="1" xfId="3" applyNumberFormat="1" applyFont="1" applyFill="1" applyBorder="1" applyProtection="1">
      <protection locked="0"/>
    </xf>
    <xf numFmtId="49" fontId="20" fillId="10" borderId="11" xfId="3" applyNumberFormat="1" applyFont="1" applyFill="1" applyBorder="1" applyAlignment="1" applyProtection="1">
      <alignment horizontal="center" vertical="center"/>
      <protection locked="0"/>
    </xf>
    <xf numFmtId="0" fontId="46" fillId="2" borderId="1" xfId="3" applyFont="1" applyFill="1" applyBorder="1" applyProtection="1">
      <protection locked="0"/>
    </xf>
    <xf numFmtId="0" fontId="42" fillId="2" borderId="1" xfId="3" applyFont="1" applyFill="1" applyBorder="1" applyProtection="1">
      <protection locked="0"/>
    </xf>
    <xf numFmtId="175" fontId="47" fillId="2" borderId="1" xfId="3" applyNumberFormat="1" applyFont="1" applyFill="1" applyBorder="1" applyAlignment="1" applyProtection="1">
      <alignment vertical="center"/>
      <protection locked="0"/>
    </xf>
    <xf numFmtId="170" fontId="1" fillId="2" borderId="1" xfId="3" applyNumberFormat="1" applyFont="1" applyFill="1" applyBorder="1" applyProtection="1">
      <protection locked="0"/>
    </xf>
    <xf numFmtId="0" fontId="46" fillId="11" borderId="12" xfId="3" applyFont="1" applyFill="1" applyBorder="1" applyProtection="1">
      <protection locked="0"/>
    </xf>
    <xf numFmtId="0" fontId="24" fillId="2" borderId="1" xfId="3" applyFont="1" applyFill="1" applyBorder="1" applyAlignment="1" applyProtection="1">
      <alignment vertical="center"/>
      <protection locked="0"/>
    </xf>
    <xf numFmtId="0" fontId="44" fillId="2" borderId="1" xfId="3" applyFont="1" applyFill="1" applyBorder="1" applyAlignment="1" applyProtection="1">
      <alignment vertical="center"/>
      <protection locked="0"/>
    </xf>
    <xf numFmtId="0" fontId="4" fillId="2" borderId="1" xfId="3" applyFont="1" applyFill="1" applyBorder="1" applyAlignment="1" applyProtection="1">
      <alignment vertical="center" wrapText="1"/>
      <protection locked="0"/>
    </xf>
    <xf numFmtId="0" fontId="13" fillId="2" borderId="1" xfId="3" applyFont="1" applyFill="1" applyBorder="1" applyAlignment="1">
      <alignment vertical="center"/>
    </xf>
    <xf numFmtId="1" fontId="18" fillId="12" borderId="13" xfId="3" applyNumberFormat="1" applyFont="1" applyFill="1" applyBorder="1" applyAlignment="1" applyProtection="1">
      <alignment horizontal="center" vertical="center"/>
      <protection locked="0"/>
    </xf>
    <xf numFmtId="2" fontId="14" fillId="3" borderId="2" xfId="3" applyNumberFormat="1" applyFont="1" applyFill="1" applyBorder="1" applyAlignment="1" applyProtection="1">
      <alignment horizontal="center" vertical="center" wrapText="1"/>
      <protection locked="0"/>
    </xf>
    <xf numFmtId="2" fontId="14" fillId="4" borderId="3" xfId="3" applyNumberFormat="1" applyFont="1" applyFill="1" applyBorder="1" applyAlignment="1" applyProtection="1">
      <alignment horizontal="center" vertical="center" wrapText="1"/>
      <protection locked="0"/>
    </xf>
    <xf numFmtId="171" fontId="35" fillId="13" borderId="14" xfId="5" applyNumberFormat="1" applyFont="1" applyFill="1" applyBorder="1" applyAlignment="1" applyProtection="1">
      <alignment horizontal="center" wrapText="1"/>
      <protection locked="0"/>
    </xf>
    <xf numFmtId="0" fontId="35" fillId="14" borderId="15" xfId="3" applyFont="1" applyFill="1" applyBorder="1" applyAlignment="1" applyProtection="1">
      <alignment horizontal="center" vertical="center" wrapText="1"/>
      <protection locked="0"/>
    </xf>
    <xf numFmtId="2" fontId="14" fillId="6" borderId="5" xfId="3" applyNumberFormat="1" applyFont="1" applyFill="1" applyBorder="1" applyAlignment="1" applyProtection="1">
      <alignment horizontal="center" vertical="center" wrapText="1"/>
      <protection locked="0"/>
    </xf>
    <xf numFmtId="2" fontId="14" fillId="5" borderId="4" xfId="3" applyNumberFormat="1" applyFont="1" applyFill="1" applyBorder="1" applyAlignment="1" applyProtection="1">
      <alignment horizontal="center" vertical="center" wrapText="1"/>
      <protection locked="0"/>
    </xf>
    <xf numFmtId="172" fontId="19" fillId="8" borderId="7" xfId="3" applyNumberFormat="1" applyFont="1" applyFill="1" applyBorder="1" applyAlignment="1" applyProtection="1">
      <alignment horizontal="center" vertical="center"/>
      <protection locked="0"/>
    </xf>
    <xf numFmtId="173" fontId="19" fillId="8" borderId="7" xfId="3" applyNumberFormat="1" applyFont="1" applyFill="1" applyBorder="1" applyAlignment="1" applyProtection="1">
      <alignment horizontal="center" vertical="center"/>
      <protection locked="0"/>
    </xf>
    <xf numFmtId="0" fontId="24" fillId="2" borderId="1" xfId="3" applyFont="1" applyFill="1" applyBorder="1" applyAlignment="1" applyProtection="1">
      <alignment horizontal="center" vertical="center" wrapText="1"/>
      <protection locked="0"/>
    </xf>
    <xf numFmtId="0" fontId="24" fillId="2" borderId="1" xfId="3" applyFont="1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24" fillId="2" borderId="1" xfId="3" applyFont="1" applyFill="1" applyBorder="1" applyAlignment="1" applyProtection="1">
      <alignment horizontal="center" vertical="center"/>
      <protection locked="0"/>
    </xf>
    <xf numFmtId="176" fontId="47" fillId="24" borderId="27" xfId="3" applyNumberFormat="1" applyFont="1" applyFill="1" applyBorder="1" applyAlignment="1" applyProtection="1">
      <alignment horizontal="right" vertical="center"/>
      <protection locked="0"/>
    </xf>
    <xf numFmtId="0" fontId="35" fillId="14" borderId="15" xfId="3" applyFont="1" applyFill="1" applyBorder="1" applyAlignment="1" applyProtection="1">
      <alignment horizontal="center" vertical="center"/>
      <protection locked="0"/>
    </xf>
    <xf numFmtId="0" fontId="35" fillId="21" borderId="23" xfId="3" applyFont="1" applyFill="1" applyBorder="1" applyAlignment="1" applyProtection="1">
      <alignment horizontal="center" vertical="center"/>
      <protection locked="0"/>
    </xf>
    <xf numFmtId="0" fontId="35" fillId="22" borderId="25" xfId="3" applyFont="1" applyFill="1" applyBorder="1" applyAlignment="1" applyProtection="1">
      <alignment horizontal="center" vertical="center"/>
      <protection locked="0"/>
    </xf>
    <xf numFmtId="0" fontId="35" fillId="17" borderId="19" xfId="3" applyFont="1" applyFill="1" applyBorder="1" applyAlignment="1" applyProtection="1">
      <alignment horizontal="center" vertical="center" wrapText="1"/>
      <protection locked="0"/>
    </xf>
    <xf numFmtId="0" fontId="35" fillId="18" borderId="20" xfId="3" applyFont="1" applyFill="1" applyBorder="1" applyAlignment="1" applyProtection="1">
      <alignment horizontal="center" vertical="center" wrapText="1"/>
      <protection locked="0"/>
    </xf>
    <xf numFmtId="0" fontId="35" fillId="19" borderId="21" xfId="3" applyFont="1" applyFill="1" applyBorder="1" applyAlignment="1" applyProtection="1">
      <alignment horizontal="center" vertical="center" wrapText="1"/>
      <protection locked="0"/>
    </xf>
    <xf numFmtId="0" fontId="35" fillId="20" borderId="22" xfId="3" applyFont="1" applyFill="1" applyBorder="1" applyAlignment="1" applyProtection="1">
      <alignment horizontal="center" vertical="center" wrapText="1"/>
      <protection locked="0"/>
    </xf>
    <xf numFmtId="0" fontId="28" fillId="12" borderId="13" xfId="3" applyFont="1" applyFill="1" applyBorder="1" applyAlignment="1" applyProtection="1">
      <alignment horizontal="center" vertical="center" wrapText="1"/>
      <protection locked="0"/>
    </xf>
    <xf numFmtId="0" fontId="28" fillId="12" borderId="13" xfId="3" applyFont="1" applyFill="1" applyBorder="1" applyAlignment="1" applyProtection="1">
      <alignment horizontal="center" vertical="center"/>
      <protection locked="0"/>
    </xf>
    <xf numFmtId="0" fontId="18" fillId="14" borderId="15" xfId="3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Alignment="1">
      <alignment horizontal="center" vertical="center" wrapText="1"/>
    </xf>
    <xf numFmtId="0" fontId="18" fillId="22" borderId="25" xfId="3" applyFont="1" applyFill="1" applyBorder="1" applyAlignment="1" applyProtection="1">
      <alignment horizontal="center" vertical="center" wrapText="1"/>
      <protection locked="0"/>
    </xf>
    <xf numFmtId="171" fontId="35" fillId="13" borderId="14" xfId="3" applyNumberFormat="1" applyFont="1" applyFill="1" applyBorder="1" applyAlignment="1" applyProtection="1">
      <alignment horizontal="center" vertical="center"/>
      <protection locked="0"/>
    </xf>
    <xf numFmtId="171" fontId="35" fillId="9" borderId="10" xfId="3" applyNumberFormat="1" applyFont="1" applyFill="1" applyBorder="1" applyAlignment="1" applyProtection="1">
      <alignment horizontal="center" vertical="center"/>
      <protection locked="0"/>
    </xf>
    <xf numFmtId="171" fontId="35" fillId="12" borderId="13" xfId="3" applyNumberFormat="1" applyFont="1" applyFill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left" vertical="center" wrapText="1"/>
      <protection locked="0"/>
    </xf>
    <xf numFmtId="173" fontId="19" fillId="15" borderId="17" xfId="3" applyNumberFormat="1" applyFont="1" applyFill="1" applyBorder="1" applyAlignment="1" applyProtection="1">
      <alignment horizontal="center" vertical="center"/>
      <protection locked="0"/>
    </xf>
    <xf numFmtId="173" fontId="19" fillId="16" borderId="18" xfId="3" applyNumberFormat="1" applyFont="1" applyFill="1" applyBorder="1" applyAlignment="1" applyProtection="1">
      <alignment horizontal="center" vertical="center"/>
      <protection locked="0"/>
    </xf>
    <xf numFmtId="165" fontId="19" fillId="15" borderId="17" xfId="3" applyNumberFormat="1" applyFont="1" applyFill="1" applyBorder="1" applyAlignment="1" applyProtection="1">
      <alignment horizontal="center" vertical="center"/>
      <protection locked="0"/>
    </xf>
    <xf numFmtId="165" fontId="19" fillId="16" borderId="18" xfId="3" applyNumberFormat="1" applyFont="1" applyFill="1" applyBorder="1" applyAlignment="1" applyProtection="1">
      <alignment horizontal="center" vertical="center"/>
      <protection locked="0"/>
    </xf>
    <xf numFmtId="0" fontId="35" fillId="23" borderId="26" xfId="3" applyFont="1" applyFill="1" applyBorder="1" applyAlignment="1" applyProtection="1">
      <alignment horizontal="center" vertical="center" wrapText="1"/>
      <protection locked="0"/>
    </xf>
    <xf numFmtId="0" fontId="26" fillId="23" borderId="26" xfId="3" applyFont="1" applyFill="1" applyBorder="1" applyAlignment="1" applyProtection="1">
      <alignment horizontal="left" vertical="center" wrapText="1"/>
      <protection locked="0"/>
    </xf>
  </cellXfs>
  <cellStyles count="6">
    <cellStyle name="Обычный" xfId="0" builtinId="0" customBuiltin="1"/>
    <cellStyle name="Обычный 5" xfId="3" xr:uid="{00000000-0005-0000-0000-000003000000}"/>
    <cellStyle name="Обычный 5 3" xfId="5" xr:uid="{00000000-0005-0000-0000-000005000000}"/>
    <cellStyle name="Процентный" xfId="2" builtinId="5" customBuiltin="1"/>
    <cellStyle name="Финансовый [0]" xfId="1" builtinId="6" customBuiltin="1"/>
    <cellStyle name="Финансовый 2" xfId="4" xr:uid="{00000000-0005-0000-0000-000004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9060904" count="1">
        <pm:charStyle name="Обычный" fontId="0" Id="1"/>
      </pm:charStyles>
      <pm:colors xmlns:pm="smNativeData" id="1769060904" count="4">
        <pm:color name="Цвет 24" rgb="002060"/>
        <pm:color name="Цвет 25" rgb="00B0F0"/>
        <pm:color name="Цвет 26" rgb="D8D8D8"/>
        <pm:color name="Цвет 27" rgb="DDEBF7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222885</xdr:colOff>
      <xdr:row>15</xdr:row>
      <xdr:rowOff>377825</xdr:rowOff>
    </xdr:from>
    <xdr:to>
      <xdr:col>0</xdr:col>
      <xdr:colOff>258445</xdr:colOff>
      <xdr:row>15</xdr:row>
      <xdr:rowOff>408305</xdr:rowOff>
    </xdr:to>
    <xdr:sp macro="" textlink="" fLocksText="0">
      <xdr:nvSpPr>
        <xdr:cNvPr id="32" name="Равнобедренный треугольник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AAAAA4wJ+AA8AAAAAAAAAHgOSAF8BAADDJgAAOAAAADAAAAAAAAAA"/>
            </a:ext>
          </a:extLst>
        </xdr:cNvSpPr>
      </xdr:nvSpPr>
      <xdr:spPr>
        <a:xfrm rot="10800000">
          <a:off x="222885" y="6301105"/>
          <a:ext cx="35560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237490</xdr:colOff>
      <xdr:row>5</xdr:row>
      <xdr:rowOff>464820</xdr:rowOff>
    </xdr:from>
    <xdr:to>
      <xdr:col>0</xdr:col>
      <xdr:colOff>273050</xdr:colOff>
      <xdr:row>5</xdr:row>
      <xdr:rowOff>497205</xdr:rowOff>
    </xdr:to>
    <xdr:sp macro="" textlink="" fLocksText="0">
      <xdr:nvSpPr>
        <xdr:cNvPr id="31" name="Равнобедренный треугольник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AAAAAWAOGAAUAAAAAAAAAkwOaAHYBAAAADwAAOAAAADMAAAAAAAAA"/>
            </a:ext>
          </a:extLst>
        </xdr:cNvSpPr>
      </xdr:nvSpPr>
      <xdr:spPr>
        <a:xfrm rot="10800000">
          <a:off x="237490" y="2438400"/>
          <a:ext cx="35560" cy="3238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240665</xdr:colOff>
      <xdr:row>11</xdr:row>
      <xdr:rowOff>380365</xdr:rowOff>
    </xdr:from>
    <xdr:to>
      <xdr:col>0</xdr:col>
      <xdr:colOff>274320</xdr:colOff>
      <xdr:row>11</xdr:row>
      <xdr:rowOff>410210</xdr:rowOff>
    </xdr:to>
    <xdr:sp macro="" textlink="" fLocksText="0">
      <xdr:nvSpPr>
        <xdr:cNvPr id="30" name="Равнобедренный треугольник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AAAAA5wKIAAsAAAAAAAAAIgObAHsBAAArHQAANQAAAC8AAAAAAAAA"/>
            </a:ext>
          </a:extLst>
        </xdr:cNvSpPr>
      </xdr:nvSpPr>
      <xdr:spPr>
        <a:xfrm rot="10800000">
          <a:off x="240665" y="474154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239395</xdr:colOff>
      <xdr:row>5</xdr:row>
      <xdr:rowOff>337820</xdr:rowOff>
    </xdr:from>
    <xdr:to>
      <xdr:col>0</xdr:col>
      <xdr:colOff>273050</xdr:colOff>
      <xdr:row>5</xdr:row>
      <xdr:rowOff>369570</xdr:rowOff>
    </xdr:to>
    <xdr:sp macro="" textlink="" fLocksText="0">
      <xdr:nvSpPr>
        <xdr:cNvPr id="29" name="Равнобедренный треугольник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AAAAAbgKHAAUAAAAAAAAAqAKaAHkBAAA4DgAANQAAADIAAAAAAAAA"/>
            </a:ext>
          </a:extLst>
        </xdr:cNvSpPr>
      </xdr:nvSpPr>
      <xdr:spPr>
        <a:xfrm rot="10800000">
          <a:off x="239395" y="2311400"/>
          <a:ext cx="33655" cy="3175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391160</xdr:colOff>
      <xdr:row>6</xdr:row>
      <xdr:rowOff>21590</xdr:rowOff>
    </xdr:from>
    <xdr:to>
      <xdr:col>0</xdr:col>
      <xdr:colOff>424815</xdr:colOff>
      <xdr:row>6</xdr:row>
      <xdr:rowOff>53340</xdr:rowOff>
    </xdr:to>
    <xdr:sp macro="" textlink="" fLocksText="0">
      <xdr:nvSpPr>
        <xdr:cNvPr id="28" name="Равнобедренный треугольник 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AAAAAUgDdAAYAAAAAAAAAywDwAGgCAACyDwAANQAAADIAAAAAAAAA"/>
            </a:ext>
          </a:extLst>
        </xdr:cNvSpPr>
      </xdr:nvSpPr>
      <xdr:spPr>
        <a:xfrm rot="10800000">
          <a:off x="391160" y="2551430"/>
          <a:ext cx="33655" cy="3175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7</xdr:row>
      <xdr:rowOff>378460</xdr:rowOff>
    </xdr:from>
    <xdr:to>
      <xdr:col>0</xdr:col>
      <xdr:colOff>267335</xdr:colOff>
      <xdr:row>7</xdr:row>
      <xdr:rowOff>408305</xdr:rowOff>
    </xdr:to>
    <xdr:sp macro="" textlink="" fLocksText="0">
      <xdr:nvSpPr>
        <xdr:cNvPr id="27" name="Равнобедренный треугольник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AAAAA5AKDAAcAAAAAAAAAHgOXAG0BAACMEwAAOAAAAC8AAAAAAAAA"/>
            </a:ext>
          </a:extLst>
        </xdr:cNvSpPr>
      </xdr:nvSpPr>
      <xdr:spPr>
        <a:xfrm rot="10800000">
          <a:off x="231775" y="3177540"/>
          <a:ext cx="35560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230505</xdr:colOff>
      <xdr:row>7</xdr:row>
      <xdr:rowOff>493395</xdr:rowOff>
    </xdr:from>
    <xdr:to>
      <xdr:col>0</xdr:col>
      <xdr:colOff>264160</xdr:colOff>
      <xdr:row>7</xdr:row>
      <xdr:rowOff>523240</xdr:rowOff>
    </xdr:to>
    <xdr:sp macro="" textlink="" fLocksText="0">
      <xdr:nvSpPr>
        <xdr:cNvPr id="26" name="Равнобедренный треугольник 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AAAAAxAOCAAcAAAAAAAAA/wOVAGsBAABBFAAANQAAAC8AAAAAAAAA"/>
            </a:ext>
          </a:extLst>
        </xdr:cNvSpPr>
      </xdr:nvSpPr>
      <xdr:spPr>
        <a:xfrm rot="10800000">
          <a:off x="230505" y="329247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320675</xdr:colOff>
      <xdr:row>8</xdr:row>
      <xdr:rowOff>83820</xdr:rowOff>
    </xdr:from>
    <xdr:to>
      <xdr:col>0</xdr:col>
      <xdr:colOff>354330</xdr:colOff>
      <xdr:row>8</xdr:row>
      <xdr:rowOff>113665</xdr:rowOff>
    </xdr:to>
    <xdr:sp macro="" textlink="" fLocksText="0">
      <xdr:nvSpPr>
        <xdr:cNvPr id="25" name="Равнобедренный треугольник 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AAAAATgG1AAgAAAAAAAAAxQHIAPkBAAD1FAAANQAAAC8AAAAAAAAA"/>
            </a:ext>
          </a:extLst>
        </xdr:cNvSpPr>
      </xdr:nvSpPr>
      <xdr:spPr>
        <a:xfrm rot="10800000">
          <a:off x="320675" y="340677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9</xdr:row>
      <xdr:rowOff>432435</xdr:rowOff>
    </xdr:from>
    <xdr:to>
      <xdr:col>0</xdr:col>
      <xdr:colOff>265430</xdr:colOff>
      <xdr:row>9</xdr:row>
      <xdr:rowOff>462915</xdr:rowOff>
    </xdr:to>
    <xdr:sp macro="" textlink="" fLocksText="0">
      <xdr:nvSpPr>
        <xdr:cNvPr id="24" name="Равнобедренный треугольник 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kAAAAAAAAATQODAAkAAAAAAAAAiQOWAG0BAACvGAAANQAAADAAAAAAAAAA"/>
            </a:ext>
          </a:extLst>
        </xdr:cNvSpPr>
      </xdr:nvSpPr>
      <xdr:spPr>
        <a:xfrm rot="10800000">
          <a:off x="231775" y="4012565"/>
          <a:ext cx="33655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230505</xdr:colOff>
      <xdr:row>10</xdr:row>
      <xdr:rowOff>31115</xdr:rowOff>
    </xdr:from>
    <xdr:to>
      <xdr:col>0</xdr:col>
      <xdr:colOff>264160</xdr:colOff>
      <xdr:row>10</xdr:row>
      <xdr:rowOff>62230</xdr:rowOff>
    </xdr:to>
    <xdr:sp macro="" textlink="" fLocksText="0">
      <xdr:nvSpPr>
        <xdr:cNvPr id="23" name="Равнобедренный треугольник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oAAAAAAAAAfACCAAoAAAAAAAAA+ACVAGsBAABwGQAANQAAADEAAAAAAAAA"/>
            </a:ext>
          </a:extLst>
        </xdr:cNvSpPr>
      </xdr:nvSpPr>
      <xdr:spPr>
        <a:xfrm rot="10800000">
          <a:off x="230505" y="4135120"/>
          <a:ext cx="33655" cy="3111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13</xdr:row>
      <xdr:rowOff>496570</xdr:rowOff>
    </xdr:from>
    <xdr:to>
      <xdr:col>0</xdr:col>
      <xdr:colOff>265430</xdr:colOff>
      <xdr:row>14</xdr:row>
      <xdr:rowOff>1905</xdr:rowOff>
    </xdr:to>
    <xdr:sp macro="" textlink="" fLocksText="0">
      <xdr:nvSpPr>
        <xdr:cNvPr id="22" name="Равнобедренный треугольник 1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0AAAAAAAAAywODAA4AAAAAAAAACACWAG0BAACwIgAANQAAAC4AAAAAAAAA"/>
            </a:ext>
          </a:extLst>
        </xdr:cNvSpPr>
      </xdr:nvSpPr>
      <xdr:spPr>
        <a:xfrm rot="10800000">
          <a:off x="231775" y="5638800"/>
          <a:ext cx="33655" cy="2921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320675</xdr:colOff>
      <xdr:row>14</xdr:row>
      <xdr:rowOff>78740</xdr:rowOff>
    </xdr:from>
    <xdr:to>
      <xdr:col>0</xdr:col>
      <xdr:colOff>354330</xdr:colOff>
      <xdr:row>14</xdr:row>
      <xdr:rowOff>108585</xdr:rowOff>
    </xdr:to>
    <xdr:sp macro="" textlink="" fLocksText="0">
      <xdr:nvSpPr>
        <xdr:cNvPr id="21" name="Равнобедренный треугольник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4AAAAAAAAAOgG1AA4AAAAAAAAAsAHIAPkBAABXIwAANQAAAC8AAAAAAAAA"/>
            </a:ext>
          </a:extLst>
        </xdr:cNvSpPr>
      </xdr:nvSpPr>
      <xdr:spPr>
        <a:xfrm rot="10800000">
          <a:off x="320675" y="574484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228600</xdr:colOff>
      <xdr:row>15</xdr:row>
      <xdr:rowOff>494665</xdr:rowOff>
    </xdr:from>
    <xdr:to>
      <xdr:col>0</xdr:col>
      <xdr:colOff>262255</xdr:colOff>
      <xdr:row>15</xdr:row>
      <xdr:rowOff>523875</xdr:rowOff>
    </xdr:to>
    <xdr:sp macro="" textlink="" fLocksText="0">
      <xdr:nvSpPr>
        <xdr:cNvPr id="20" name="Равнобедренный треугольник 1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I8MAQ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AAAAAxwOBAA8AAAAAAAAAAASUAGgBAAB7JwAANQAAAC4AAAAAAAAA"/>
            </a:ext>
          </a:extLst>
        </xdr:cNvSpPr>
      </xdr:nvSpPr>
      <xdr:spPr>
        <a:xfrm rot="10800000">
          <a:off x="228600" y="6417945"/>
          <a:ext cx="33655" cy="2921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313690</xdr:colOff>
      <xdr:row>16</xdr:row>
      <xdr:rowOff>87630</xdr:rowOff>
    </xdr:from>
    <xdr:to>
      <xdr:col>0</xdr:col>
      <xdr:colOff>348615</xdr:colOff>
      <xdr:row>16</xdr:row>
      <xdr:rowOff>117475</xdr:rowOff>
    </xdr:to>
    <xdr:sp macro="" textlink="" fLocksText="0">
      <xdr:nvSpPr>
        <xdr:cNvPr id="19" name="Равнобедренный треугольник 1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AAAAAAAAAAXQGxABAAAAAAAAAA1AHFAO4BAAAzKAAANwAAAC8AAAAAAAAA"/>
            </a:ext>
          </a:extLst>
        </xdr:cNvSpPr>
      </xdr:nvSpPr>
      <xdr:spPr>
        <a:xfrm rot="10800000">
          <a:off x="313690" y="6534785"/>
          <a:ext cx="3492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239395</xdr:colOff>
      <xdr:row>11</xdr:row>
      <xdr:rowOff>490220</xdr:rowOff>
    </xdr:from>
    <xdr:to>
      <xdr:col>0</xdr:col>
      <xdr:colOff>274320</xdr:colOff>
      <xdr:row>11</xdr:row>
      <xdr:rowOff>520065</xdr:rowOff>
    </xdr:to>
    <xdr:sp macro="" textlink="" fLocksText="0">
      <xdr:nvSpPr>
        <xdr:cNvPr id="18" name="Равнобедренный треугольник 1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AAAAAvgOHAAsAAAAAAAAA+QObAHkBAADYHQAANwAAAC8AAAAAAAAA"/>
            </a:ext>
          </a:extLst>
        </xdr:cNvSpPr>
      </xdr:nvSpPr>
      <xdr:spPr>
        <a:xfrm rot="10800000">
          <a:off x="239395" y="4851400"/>
          <a:ext cx="3492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334645</xdr:colOff>
      <xdr:row>12</xdr:row>
      <xdr:rowOff>79375</xdr:rowOff>
    </xdr:from>
    <xdr:to>
      <xdr:col>0</xdr:col>
      <xdr:colOff>368300</xdr:colOff>
      <xdr:row>12</xdr:row>
      <xdr:rowOff>109855</xdr:rowOff>
    </xdr:to>
    <xdr:sp macro="" textlink="" fLocksText="0">
      <xdr:nvSpPr>
        <xdr:cNvPr id="17" name="Равнобедренный треугольни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wAAAAAAAAAPAG9AAwAAAAAAAAAtQHQAA8CAACKHgAANQAAADAAAAAAAAAA"/>
            </a:ext>
          </a:extLst>
        </xdr:cNvSpPr>
      </xdr:nvSpPr>
      <xdr:spPr>
        <a:xfrm rot="10800000">
          <a:off x="334645" y="4964430"/>
          <a:ext cx="33655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226695</xdr:colOff>
      <xdr:row>13</xdr:row>
      <xdr:rowOff>381635</xdr:rowOff>
    </xdr:from>
    <xdr:to>
      <xdr:col>0</xdr:col>
      <xdr:colOff>262255</xdr:colOff>
      <xdr:row>13</xdr:row>
      <xdr:rowOff>412115</xdr:rowOff>
    </xdr:to>
    <xdr:sp macro="" textlink="" fLocksText="0">
      <xdr:nvSpPr>
        <xdr:cNvPr id="16" name="Равнобедренный треугольник 1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0AAAAAAAAA6gKAAA0AAAAAAAAAJgOUAGUBAAD7IQAAOAAAADAAAAAAAAAA"/>
            </a:ext>
          </a:extLst>
        </xdr:cNvSpPr>
      </xdr:nvSpPr>
      <xdr:spPr>
        <a:xfrm rot="10800000">
          <a:off x="226695" y="5523865"/>
          <a:ext cx="35560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394970</xdr:colOff>
      <xdr:row>6</xdr:row>
      <xdr:rowOff>138430</xdr:rowOff>
    </xdr:from>
    <xdr:to>
      <xdr:col>0</xdr:col>
      <xdr:colOff>428625</xdr:colOff>
      <xdr:row>6</xdr:row>
      <xdr:rowOff>169545</xdr:rowOff>
    </xdr:to>
    <xdr:sp macro="" textlink="" fLocksText="0">
      <xdr:nvSpPr>
        <xdr:cNvPr id="15" name="Равнобедренный треугольник 1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AAAAADgLfAAYAAAAAAAAAhQLyAG4CAABqEAAANQAAADEAAAAAAAAA"/>
            </a:ext>
          </a:extLst>
        </xdr:cNvSpPr>
      </xdr:nvSpPr>
      <xdr:spPr>
        <a:xfrm rot="10800000">
          <a:off x="394970" y="2668270"/>
          <a:ext cx="33655" cy="3111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C641"/>
  <sheetViews>
    <sheetView tabSelected="1" topLeftCell="A12" zoomScale="106" workbookViewId="0">
      <selection activeCell="P22" sqref="P22"/>
    </sheetView>
  </sheetViews>
  <sheetFormatPr defaultColWidth="8.6640625" defaultRowHeight="13.8" x14ac:dyDescent="0.25"/>
  <cols>
    <col min="1" max="1" width="25.44140625" style="1" customWidth="1"/>
    <col min="2" max="15" width="9.77734375" style="1" customWidth="1"/>
    <col min="16" max="18" width="11.33203125" style="1" customWidth="1"/>
    <col min="19" max="19" width="11.44140625" style="3" customWidth="1"/>
    <col min="20" max="20" width="11.44140625" style="1" customWidth="1"/>
    <col min="21" max="22" width="10.88671875" style="1" customWidth="1"/>
    <col min="23" max="23" width="17.33203125" style="1" customWidth="1"/>
    <col min="24" max="24" width="13.33203125" style="1" customWidth="1"/>
    <col min="25" max="25" width="17.33203125" style="1" customWidth="1"/>
    <col min="26" max="26" width="14.109375" style="1" customWidth="1"/>
    <col min="27" max="64" width="7.109375" style="1" hidden="1" customWidth="1"/>
    <col min="65" max="89" width="7.109375" style="2" hidden="1" customWidth="1"/>
    <col min="90" max="122" width="7.109375" style="1" hidden="1" customWidth="1"/>
    <col min="123" max="144" width="7.44140625" style="1" hidden="1" customWidth="1"/>
    <col min="145" max="168" width="9" style="1" hidden="1" customWidth="1"/>
    <col min="169" max="178" width="7.88671875" style="1" hidden="1" customWidth="1"/>
    <col min="179" max="179" width="7.88671875" style="1" customWidth="1"/>
    <col min="180" max="180" width="13.109375" style="1" customWidth="1"/>
    <col min="181" max="16384" width="8.6640625" style="1"/>
  </cols>
  <sheetData>
    <row r="1" spans="1:204" ht="29.4" customHeight="1" x14ac:dyDescent="0.55000000000000004">
      <c r="A1" s="148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32"/>
      <c r="Q1" s="132"/>
      <c r="R1" s="132"/>
      <c r="S1" s="132"/>
      <c r="T1" s="132"/>
      <c r="U1" s="132"/>
      <c r="V1" s="132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FZ1" s="123"/>
    </row>
    <row r="2" spans="1:204" ht="36" customHeight="1" x14ac:dyDescent="0.5500000000000000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49">
        <v>46007</v>
      </c>
      <c r="M2" s="149"/>
      <c r="N2" s="149"/>
      <c r="O2" s="149"/>
      <c r="P2" s="130"/>
      <c r="Q2" s="129"/>
      <c r="R2" s="129"/>
      <c r="W2" s="127"/>
      <c r="X2" s="127"/>
      <c r="Y2" s="127"/>
      <c r="Z2" s="127"/>
      <c r="AA2" s="128"/>
      <c r="AB2" s="127"/>
      <c r="AC2" s="127"/>
      <c r="AD2" s="127"/>
      <c r="AE2" s="127"/>
      <c r="AF2" s="127"/>
      <c r="AG2" s="127"/>
      <c r="AH2" s="127"/>
      <c r="AI2" s="127"/>
      <c r="AJ2" s="12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FZ2" s="123"/>
    </row>
    <row r="3" spans="1:204" ht="33" customHeight="1" x14ac:dyDescent="0.25">
      <c r="A3" s="157" t="s">
        <v>1</v>
      </c>
      <c r="B3" s="140" t="s">
        <v>2</v>
      </c>
      <c r="C3" s="150" t="s">
        <v>3</v>
      </c>
      <c r="D3" s="151"/>
      <c r="E3" s="151"/>
      <c r="F3" s="150" t="s">
        <v>4</v>
      </c>
      <c r="G3" s="151"/>
      <c r="H3" s="152"/>
      <c r="I3" s="150" t="s">
        <v>5</v>
      </c>
      <c r="J3" s="151"/>
      <c r="K3" s="152"/>
      <c r="L3" s="153" t="s">
        <v>6</v>
      </c>
      <c r="M3" s="154"/>
      <c r="N3" s="153" t="s">
        <v>7</v>
      </c>
      <c r="O3" s="154"/>
      <c r="P3" s="2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126"/>
      <c r="AH3" s="125"/>
      <c r="AI3" s="124"/>
      <c r="AJ3" s="124"/>
      <c r="AK3" s="12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FS3" s="123"/>
    </row>
    <row r="4" spans="1:204" ht="33" customHeight="1" x14ac:dyDescent="0.3">
      <c r="A4" s="158"/>
      <c r="B4" s="162">
        <f>L2</f>
        <v>46007</v>
      </c>
      <c r="C4" s="164">
        <f>L2</f>
        <v>46007</v>
      </c>
      <c r="D4" s="159" t="s">
        <v>8</v>
      </c>
      <c r="E4" s="160"/>
      <c r="F4" s="139">
        <f>L2</f>
        <v>46007</v>
      </c>
      <c r="G4" s="159" t="s">
        <v>9</v>
      </c>
      <c r="H4" s="160"/>
      <c r="I4" s="164">
        <f>L2</f>
        <v>46007</v>
      </c>
      <c r="J4" s="159" t="s">
        <v>8</v>
      </c>
      <c r="K4" s="161"/>
      <c r="L4" s="155"/>
      <c r="M4" s="156"/>
      <c r="N4" s="155"/>
      <c r="O4" s="156"/>
      <c r="P4" s="121"/>
      <c r="Q4" s="121"/>
      <c r="R4" s="121"/>
      <c r="S4" s="12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</row>
    <row r="5" spans="1:204" ht="24" customHeight="1" x14ac:dyDescent="0.25">
      <c r="A5" s="158"/>
      <c r="B5" s="163"/>
      <c r="C5" s="164"/>
      <c r="D5" s="136">
        <f>YEAR($L$2)-1</f>
        <v>2024</v>
      </c>
      <c r="E5" s="136">
        <f>YEAR($L$2)-2</f>
        <v>2023</v>
      </c>
      <c r="F5" s="120" t="s">
        <v>10</v>
      </c>
      <c r="G5" s="136">
        <f>YEAR($L$2)-1</f>
        <v>2024</v>
      </c>
      <c r="H5" s="136">
        <f>YEAR($L$2)-2</f>
        <v>2023</v>
      </c>
      <c r="I5" s="164"/>
      <c r="J5" s="136">
        <f>YEAR($L$2)-1</f>
        <v>2024</v>
      </c>
      <c r="K5" s="136">
        <f>YEAR($L$2)-2</f>
        <v>2023</v>
      </c>
      <c r="L5" s="136">
        <f>YEAR($L$2)</f>
        <v>2025</v>
      </c>
      <c r="M5" s="136">
        <f>YEAR($L$2)-1</f>
        <v>2024</v>
      </c>
      <c r="N5" s="136">
        <f>YEAR($L$2)</f>
        <v>2025</v>
      </c>
      <c r="O5" s="136">
        <f>YEAR($L$2)-1</f>
        <v>2024</v>
      </c>
      <c r="P5" s="5"/>
      <c r="Q5" s="5"/>
      <c r="R5" s="5"/>
      <c r="S5" s="5"/>
      <c r="T5" s="119"/>
      <c r="U5" s="119"/>
      <c r="V5" s="119"/>
      <c r="W5" s="119"/>
      <c r="X5" s="119"/>
      <c r="Y5" s="119"/>
      <c r="Z5" s="119"/>
      <c r="AA5" s="119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8"/>
      <c r="BR5" s="118"/>
      <c r="BS5" s="118"/>
      <c r="BT5" s="118"/>
      <c r="BU5" s="118"/>
      <c r="BV5" s="118"/>
      <c r="BW5" s="118"/>
      <c r="BX5" s="118"/>
      <c r="BY5" s="118"/>
      <c r="BZ5" s="118"/>
      <c r="CA5" s="118"/>
      <c r="CB5" s="118"/>
      <c r="CC5" s="118"/>
      <c r="CD5" s="118"/>
      <c r="CE5" s="118"/>
      <c r="CF5" s="118"/>
      <c r="CG5" s="118"/>
      <c r="CH5" s="118"/>
      <c r="CI5" s="118"/>
      <c r="CJ5" s="118"/>
      <c r="CK5" s="118"/>
      <c r="CL5" s="118"/>
      <c r="CM5" s="118"/>
      <c r="CN5" s="118"/>
      <c r="CO5" s="118"/>
      <c r="CP5" s="118"/>
      <c r="CQ5" s="118"/>
      <c r="CR5" s="118"/>
      <c r="CS5" s="118"/>
      <c r="CT5" s="118"/>
      <c r="CU5" s="118"/>
      <c r="CV5" s="118"/>
      <c r="CW5" s="118"/>
      <c r="CX5" s="118"/>
      <c r="CY5" s="118"/>
      <c r="CZ5" s="118"/>
      <c r="DA5" s="118"/>
      <c r="DB5" s="118"/>
      <c r="DC5" s="118"/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118"/>
      <c r="DO5" s="118"/>
      <c r="DP5" s="118"/>
      <c r="DQ5" s="118"/>
      <c r="DR5" s="118"/>
      <c r="DS5" s="118"/>
      <c r="DT5" s="118"/>
      <c r="DU5" s="118"/>
      <c r="DV5" s="118"/>
      <c r="DW5" s="118"/>
      <c r="DX5" s="118"/>
      <c r="DY5" s="118"/>
      <c r="DZ5" s="118"/>
      <c r="EA5" s="118"/>
      <c r="EB5" s="118"/>
      <c r="EC5" s="118"/>
      <c r="ED5" s="118"/>
      <c r="EE5" s="118"/>
      <c r="EF5" s="118"/>
      <c r="EG5" s="118"/>
      <c r="EH5" s="117"/>
      <c r="EI5" s="117"/>
      <c r="EJ5" s="117"/>
      <c r="EK5" s="117"/>
      <c r="EL5" s="117"/>
      <c r="EM5" s="117"/>
      <c r="EN5" s="117"/>
      <c r="EO5" s="117"/>
      <c r="EP5" s="117"/>
      <c r="EQ5" s="117"/>
      <c r="ER5" s="117"/>
      <c r="ES5" s="117"/>
      <c r="ET5" s="117"/>
      <c r="EU5" s="117"/>
      <c r="EV5" s="117"/>
      <c r="EW5" s="117"/>
      <c r="EX5" s="117"/>
      <c r="EY5" s="117"/>
      <c r="EZ5" s="117"/>
      <c r="FA5" s="117"/>
      <c r="FB5" s="117"/>
      <c r="FC5" s="117"/>
      <c r="FD5" s="117"/>
      <c r="FE5" s="117"/>
      <c r="FF5" s="117"/>
      <c r="FG5" s="117"/>
      <c r="FH5" s="117"/>
      <c r="FI5" s="117"/>
      <c r="FJ5" s="117"/>
      <c r="FK5" s="117"/>
      <c r="FL5" s="117"/>
      <c r="FM5" s="117"/>
      <c r="FN5" s="117"/>
      <c r="FO5" s="117"/>
      <c r="FP5" s="117"/>
      <c r="FQ5" s="117"/>
      <c r="FR5" s="117"/>
      <c r="FS5" s="117"/>
      <c r="FT5" s="117"/>
      <c r="FU5" s="117"/>
      <c r="FV5" s="117"/>
      <c r="FW5" s="117"/>
      <c r="FX5" s="117"/>
      <c r="FY5" s="117"/>
      <c r="FZ5" s="117"/>
      <c r="GA5" s="117"/>
      <c r="GB5" s="117"/>
      <c r="GC5" s="117"/>
      <c r="GD5" s="117"/>
      <c r="GE5" s="117"/>
      <c r="GF5" s="117"/>
      <c r="GG5" s="117"/>
      <c r="GH5" s="117"/>
      <c r="GI5" s="117"/>
      <c r="GJ5" s="117"/>
      <c r="GK5" s="117"/>
      <c r="GL5" s="117"/>
      <c r="GM5" s="117"/>
      <c r="GN5" s="117"/>
      <c r="GO5" s="117"/>
      <c r="GP5" s="117"/>
      <c r="GQ5" s="117"/>
      <c r="GR5" s="117"/>
      <c r="GS5" s="117"/>
      <c r="GT5" s="117"/>
      <c r="GU5" s="117"/>
      <c r="GV5" s="117"/>
    </row>
    <row r="6" spans="1:204" s="93" customFormat="1" ht="43.8" customHeight="1" x14ac:dyDescent="0.25">
      <c r="A6" s="165" t="s">
        <v>11</v>
      </c>
      <c r="B6" s="99">
        <v>1</v>
      </c>
      <c r="C6" s="99">
        <v>1</v>
      </c>
      <c r="D6" s="141">
        <v>1</v>
      </c>
      <c r="E6" s="142">
        <v>1</v>
      </c>
      <c r="F6" s="77">
        <v>1</v>
      </c>
      <c r="G6" s="101">
        <v>1</v>
      </c>
      <c r="H6" s="100">
        <v>1</v>
      </c>
      <c r="I6" s="77">
        <v>1</v>
      </c>
      <c r="J6" s="101">
        <v>1</v>
      </c>
      <c r="K6" s="100">
        <v>1</v>
      </c>
      <c r="L6" s="116">
        <v>1</v>
      </c>
      <c r="M6" s="115">
        <v>1</v>
      </c>
      <c r="N6" s="77">
        <v>1</v>
      </c>
      <c r="O6" s="76">
        <v>1</v>
      </c>
      <c r="P6" s="110"/>
      <c r="Q6" s="110"/>
      <c r="R6" s="112"/>
      <c r="S6" s="97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  <c r="CA6" s="107"/>
      <c r="CB6" s="107"/>
      <c r="CC6" s="107"/>
      <c r="CD6" s="107"/>
      <c r="CE6" s="107"/>
      <c r="CF6" s="107"/>
      <c r="CG6" s="107"/>
      <c r="CH6" s="107"/>
      <c r="CI6" s="107"/>
      <c r="CJ6" s="107"/>
      <c r="CK6" s="107"/>
      <c r="CL6" s="107"/>
      <c r="CM6" s="107"/>
      <c r="CN6" s="107"/>
      <c r="CO6" s="107"/>
      <c r="CP6" s="107"/>
      <c r="CQ6" s="107"/>
      <c r="CR6" s="107"/>
      <c r="CS6" s="107"/>
      <c r="CT6" s="107"/>
      <c r="CU6" s="107"/>
      <c r="CV6" s="107"/>
      <c r="CW6" s="107"/>
      <c r="CX6" s="107"/>
      <c r="CY6" s="107"/>
      <c r="CZ6" s="107"/>
      <c r="DA6" s="107"/>
      <c r="DB6" s="107"/>
      <c r="DC6" s="107"/>
      <c r="DD6" s="107"/>
      <c r="DE6" s="107"/>
      <c r="DF6" s="107"/>
      <c r="DG6" s="107"/>
      <c r="DH6" s="107"/>
      <c r="DI6" s="107"/>
      <c r="DJ6" s="107"/>
      <c r="DK6" s="107"/>
      <c r="DL6" s="107"/>
      <c r="DM6" s="107"/>
      <c r="DN6" s="107"/>
      <c r="DO6" s="107"/>
      <c r="DP6" s="107"/>
      <c r="DQ6" s="107"/>
      <c r="DR6" s="107"/>
      <c r="DS6" s="107"/>
      <c r="DT6" s="107"/>
      <c r="DU6" s="107"/>
      <c r="DV6" s="107"/>
      <c r="DW6" s="107"/>
      <c r="DX6" s="107"/>
      <c r="DY6" s="107"/>
      <c r="DZ6" s="107"/>
      <c r="EA6" s="107"/>
      <c r="EB6" s="107"/>
      <c r="EC6" s="107"/>
      <c r="ED6" s="107"/>
      <c r="EE6" s="107"/>
      <c r="EF6" s="107"/>
      <c r="EG6" s="107"/>
      <c r="EH6" s="106"/>
      <c r="EI6" s="106"/>
      <c r="EJ6" s="106"/>
      <c r="EK6" s="106"/>
      <c r="EL6" s="106"/>
      <c r="EM6" s="106"/>
      <c r="EN6" s="106"/>
      <c r="EO6" s="106"/>
      <c r="EP6" s="106"/>
      <c r="EQ6" s="106"/>
      <c r="ER6" s="106"/>
      <c r="ES6" s="106"/>
      <c r="ET6" s="106"/>
      <c r="EU6" s="106"/>
      <c r="EV6" s="106"/>
      <c r="EW6" s="106"/>
      <c r="EX6" s="106"/>
      <c r="EY6" s="106"/>
      <c r="EZ6" s="106"/>
      <c r="FA6" s="106"/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106"/>
      <c r="FR6" s="106"/>
      <c r="FS6" s="106"/>
      <c r="FT6" s="106"/>
      <c r="FU6" s="106"/>
      <c r="FV6" s="106"/>
      <c r="FW6" s="106"/>
      <c r="FX6" s="106"/>
      <c r="FY6" s="106"/>
      <c r="FZ6" s="106"/>
      <c r="GA6" s="106"/>
      <c r="GB6" s="106"/>
      <c r="GC6" s="106"/>
      <c r="GD6" s="106"/>
      <c r="GE6" s="106"/>
      <c r="GF6" s="106"/>
      <c r="GG6" s="106"/>
      <c r="GH6" s="106"/>
      <c r="GI6" s="106"/>
      <c r="GJ6" s="106"/>
      <c r="GK6" s="106"/>
      <c r="GL6" s="106"/>
      <c r="GM6" s="106"/>
      <c r="GN6" s="106"/>
      <c r="GO6" s="106"/>
      <c r="GP6" s="106"/>
      <c r="GQ6" s="106"/>
      <c r="GR6" s="106"/>
      <c r="GS6" s="106"/>
      <c r="GT6" s="106"/>
      <c r="GU6" s="106"/>
      <c r="GV6" s="106"/>
    </row>
    <row r="7" spans="1:204" ht="21.15" customHeight="1" x14ac:dyDescent="0.25">
      <c r="A7" s="165"/>
      <c r="B7" s="143" t="s">
        <v>12</v>
      </c>
      <c r="C7" s="143" t="s">
        <v>13</v>
      </c>
      <c r="D7" s="143">
        <f>C6-D6</f>
        <v>0</v>
      </c>
      <c r="E7" s="143">
        <f>C6-E6</f>
        <v>0</v>
      </c>
      <c r="F7" s="144" t="s">
        <v>14</v>
      </c>
      <c r="G7" s="144">
        <f>F6-G6</f>
        <v>0</v>
      </c>
      <c r="H7" s="144">
        <f>F6-H6</f>
        <v>0</v>
      </c>
      <c r="I7" s="144" t="s">
        <v>14</v>
      </c>
      <c r="J7" s="144">
        <f>I6-J6</f>
        <v>0</v>
      </c>
      <c r="K7" s="144">
        <f>I6-K6</f>
        <v>0</v>
      </c>
      <c r="L7" s="143">
        <f>L6-M6</f>
        <v>0</v>
      </c>
      <c r="M7" s="92">
        <f>IFERROR(L6/M6, 0)</f>
        <v>1</v>
      </c>
      <c r="N7" s="166">
        <f>N6-O6</f>
        <v>0</v>
      </c>
      <c r="O7" s="167" t="str">
        <f>IF(TEXT(N6-O6,"+0,0; -0,0")="+0,0","0,0",TEXT(N6-O6,"+0,0; -0,0"))</f>
        <v>0,0</v>
      </c>
      <c r="P7" s="89"/>
      <c r="Q7" s="89"/>
      <c r="R7" s="109"/>
      <c r="S7" s="97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4"/>
      <c r="CI7" s="114"/>
      <c r="CJ7" s="114"/>
      <c r="CK7" s="114"/>
      <c r="CL7" s="114"/>
      <c r="CM7" s="114"/>
      <c r="CN7" s="114"/>
      <c r="CO7" s="114"/>
      <c r="CP7" s="114"/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4"/>
      <c r="DD7" s="114"/>
      <c r="DE7" s="114"/>
      <c r="DF7" s="114"/>
      <c r="DG7" s="114"/>
      <c r="DH7" s="114"/>
      <c r="DI7" s="114"/>
      <c r="DJ7" s="114"/>
      <c r="DK7" s="114"/>
      <c r="DL7" s="114"/>
      <c r="DM7" s="114"/>
      <c r="DN7" s="114"/>
      <c r="DO7" s="114"/>
      <c r="DP7" s="114"/>
      <c r="DQ7" s="114"/>
      <c r="DR7" s="114"/>
      <c r="DS7" s="114"/>
      <c r="DT7" s="114"/>
      <c r="DU7" s="114"/>
      <c r="DV7" s="114"/>
      <c r="DW7" s="114"/>
      <c r="DX7" s="114"/>
      <c r="DY7" s="114"/>
      <c r="DZ7" s="114"/>
      <c r="EA7" s="114"/>
      <c r="EB7" s="114"/>
      <c r="EC7" s="114"/>
      <c r="ED7" s="114"/>
      <c r="EE7" s="114"/>
      <c r="EF7" s="114"/>
      <c r="EG7" s="114"/>
      <c r="EH7" s="113"/>
      <c r="EI7" s="113"/>
      <c r="EJ7" s="113"/>
      <c r="EK7" s="113"/>
      <c r="EL7" s="113"/>
      <c r="EM7" s="113"/>
      <c r="EN7" s="113"/>
      <c r="EO7" s="113"/>
      <c r="EP7" s="113"/>
      <c r="EQ7" s="113"/>
      <c r="ER7" s="113"/>
      <c r="ES7" s="113"/>
      <c r="ET7" s="113"/>
      <c r="EU7" s="113"/>
      <c r="EV7" s="113"/>
      <c r="EW7" s="113"/>
      <c r="EX7" s="113"/>
      <c r="EY7" s="113"/>
      <c r="EZ7" s="113"/>
      <c r="FA7" s="113"/>
      <c r="FB7" s="113"/>
      <c r="FC7" s="113"/>
      <c r="FD7" s="113"/>
      <c r="FE7" s="113"/>
      <c r="FF7" s="113"/>
      <c r="FG7" s="113"/>
      <c r="FH7" s="113"/>
      <c r="FI7" s="113"/>
      <c r="FJ7" s="113"/>
      <c r="FK7" s="113"/>
      <c r="FL7" s="113"/>
      <c r="FM7" s="113"/>
      <c r="FN7" s="113"/>
      <c r="FO7" s="113"/>
      <c r="FP7" s="113"/>
      <c r="FQ7" s="113"/>
      <c r="FR7" s="113"/>
      <c r="FS7" s="113"/>
      <c r="FT7" s="113"/>
      <c r="FU7" s="113"/>
      <c r="FV7" s="113"/>
      <c r="FW7" s="113"/>
      <c r="FX7" s="113"/>
      <c r="FY7" s="113"/>
      <c r="FZ7" s="113"/>
      <c r="GA7" s="113"/>
      <c r="GB7" s="113"/>
      <c r="GC7" s="113"/>
      <c r="GD7" s="113"/>
      <c r="GE7" s="113"/>
      <c r="GF7" s="113"/>
      <c r="GG7" s="113"/>
      <c r="GH7" s="113"/>
      <c r="GI7" s="113"/>
      <c r="GJ7" s="113"/>
      <c r="GK7" s="113"/>
      <c r="GL7" s="113"/>
      <c r="GM7" s="113"/>
      <c r="GN7" s="113"/>
      <c r="GO7" s="113"/>
      <c r="GP7" s="113"/>
      <c r="GQ7" s="113"/>
      <c r="GR7" s="113"/>
      <c r="GS7" s="113"/>
      <c r="GT7" s="113"/>
      <c r="GU7" s="113"/>
      <c r="GV7" s="113"/>
    </row>
    <row r="8" spans="1:204" s="93" customFormat="1" ht="41.25" customHeight="1" x14ac:dyDescent="0.25">
      <c r="A8" s="165" t="s">
        <v>15</v>
      </c>
      <c r="B8" s="99">
        <v>1</v>
      </c>
      <c r="C8" s="99">
        <v>1</v>
      </c>
      <c r="D8" s="141">
        <v>1</v>
      </c>
      <c r="E8" s="142">
        <v>1</v>
      </c>
      <c r="F8" s="77">
        <v>1</v>
      </c>
      <c r="G8" s="101">
        <v>1</v>
      </c>
      <c r="H8" s="100">
        <v>1</v>
      </c>
      <c r="I8" s="77">
        <v>1</v>
      </c>
      <c r="J8" s="101">
        <v>1</v>
      </c>
      <c r="K8" s="100">
        <v>1</v>
      </c>
      <c r="L8" s="99">
        <v>1</v>
      </c>
      <c r="M8" s="137">
        <v>1</v>
      </c>
      <c r="N8" s="77">
        <v>1</v>
      </c>
      <c r="O8" s="76">
        <v>1</v>
      </c>
      <c r="P8" s="110"/>
      <c r="Q8" s="110"/>
      <c r="R8" s="109"/>
      <c r="S8" s="97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  <c r="DQ8" s="107"/>
      <c r="DR8" s="107"/>
      <c r="DS8" s="107"/>
      <c r="DT8" s="107"/>
      <c r="DU8" s="107"/>
      <c r="DV8" s="107"/>
      <c r="DW8" s="107"/>
      <c r="DX8" s="107"/>
      <c r="DY8" s="107"/>
      <c r="DZ8" s="107"/>
      <c r="EA8" s="107"/>
      <c r="EB8" s="107"/>
      <c r="EC8" s="107"/>
      <c r="ED8" s="107"/>
      <c r="EE8" s="107"/>
      <c r="EF8" s="107"/>
      <c r="EG8" s="107"/>
      <c r="EH8" s="106"/>
      <c r="EI8" s="106"/>
      <c r="EJ8" s="106"/>
      <c r="EK8" s="106"/>
      <c r="EL8" s="106"/>
      <c r="EM8" s="106"/>
      <c r="EN8" s="106"/>
      <c r="EO8" s="106"/>
      <c r="EP8" s="106"/>
      <c r="EQ8" s="106"/>
      <c r="ER8" s="106"/>
      <c r="ES8" s="106"/>
      <c r="ET8" s="106"/>
      <c r="EU8" s="106"/>
      <c r="EV8" s="106"/>
      <c r="EW8" s="106"/>
      <c r="EX8" s="106"/>
      <c r="EY8" s="106"/>
      <c r="EZ8" s="106"/>
      <c r="FA8" s="106"/>
      <c r="FB8" s="106"/>
      <c r="FC8" s="106"/>
      <c r="FD8" s="106"/>
      <c r="FE8" s="106"/>
      <c r="FF8" s="106"/>
      <c r="FG8" s="106"/>
      <c r="FH8" s="106"/>
      <c r="FI8" s="106"/>
      <c r="FJ8" s="106"/>
      <c r="FK8" s="106"/>
      <c r="FL8" s="106"/>
      <c r="FM8" s="106"/>
      <c r="FN8" s="106"/>
      <c r="FO8" s="106"/>
      <c r="FP8" s="106"/>
      <c r="FQ8" s="106"/>
      <c r="FR8" s="106"/>
      <c r="FS8" s="106"/>
      <c r="FT8" s="106"/>
      <c r="FU8" s="106"/>
      <c r="FV8" s="106"/>
      <c r="FW8" s="106"/>
      <c r="FX8" s="106"/>
      <c r="FY8" s="106"/>
      <c r="FZ8" s="106"/>
      <c r="GA8" s="106"/>
      <c r="GB8" s="106"/>
      <c r="GC8" s="106"/>
      <c r="GD8" s="106"/>
      <c r="GE8" s="106"/>
      <c r="GF8" s="106"/>
      <c r="GG8" s="106"/>
      <c r="GH8" s="106"/>
      <c r="GI8" s="106"/>
      <c r="GJ8" s="106"/>
      <c r="GK8" s="106"/>
      <c r="GL8" s="106"/>
      <c r="GM8" s="106"/>
      <c r="GN8" s="106"/>
      <c r="GO8" s="106"/>
      <c r="GP8" s="106"/>
      <c r="GQ8" s="106"/>
      <c r="GR8" s="106"/>
      <c r="GS8" s="106"/>
      <c r="GT8" s="106"/>
      <c r="GU8" s="106"/>
      <c r="GV8" s="106"/>
    </row>
    <row r="9" spans="1:204" ht="20.25" customHeight="1" x14ac:dyDescent="0.25">
      <c r="A9" s="165"/>
      <c r="B9" s="143" t="s">
        <v>16</v>
      </c>
      <c r="C9" s="143" t="s">
        <v>17</v>
      </c>
      <c r="D9" s="143">
        <f>C8-D8</f>
        <v>0</v>
      </c>
      <c r="E9" s="143">
        <f>C8-E8</f>
        <v>0</v>
      </c>
      <c r="F9" s="144" t="s">
        <v>18</v>
      </c>
      <c r="G9" s="144">
        <f>F8-G8</f>
        <v>0</v>
      </c>
      <c r="H9" s="144">
        <f>F8-H8</f>
        <v>0</v>
      </c>
      <c r="I9" s="144" t="s">
        <v>14</v>
      </c>
      <c r="J9" s="144">
        <f>I8-J8</f>
        <v>0</v>
      </c>
      <c r="K9" s="144">
        <f>I8-K8</f>
        <v>0</v>
      </c>
      <c r="L9" s="143">
        <f>L8-M8</f>
        <v>0</v>
      </c>
      <c r="M9" s="92">
        <f>IFERROR(L8/M8, 0)</f>
        <v>1</v>
      </c>
      <c r="N9" s="166">
        <f>N8-O8</f>
        <v>0</v>
      </c>
      <c r="O9" s="167" t="str">
        <f>IF(TEXT(N8-O8,"+0,0; -0,0")="+0,0","0,0",TEXT(N8-O8,"+0,0; -0,0"))</f>
        <v>0,0</v>
      </c>
      <c r="P9" s="89"/>
      <c r="Q9" s="89"/>
      <c r="R9" s="112"/>
      <c r="S9" s="89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  <c r="CV9" s="103"/>
      <c r="CW9" s="103"/>
      <c r="CX9" s="103"/>
      <c r="CY9" s="103"/>
      <c r="CZ9" s="103"/>
      <c r="DA9" s="103"/>
      <c r="DB9" s="103"/>
      <c r="DC9" s="103"/>
      <c r="DD9" s="103"/>
      <c r="DE9" s="103"/>
      <c r="DF9" s="103"/>
      <c r="DG9" s="103"/>
      <c r="DH9" s="103"/>
      <c r="DI9" s="103"/>
      <c r="DJ9" s="103"/>
      <c r="DK9" s="103"/>
      <c r="DL9" s="103"/>
      <c r="DM9" s="103"/>
      <c r="DN9" s="103"/>
      <c r="DO9" s="103"/>
      <c r="DP9" s="103"/>
      <c r="DQ9" s="103"/>
      <c r="DR9" s="103"/>
      <c r="DS9" s="103"/>
      <c r="DT9" s="103"/>
      <c r="DU9" s="103"/>
      <c r="DV9" s="103"/>
      <c r="DW9" s="103"/>
      <c r="DX9" s="103"/>
      <c r="DY9" s="103"/>
      <c r="DZ9" s="103"/>
      <c r="EA9" s="103"/>
      <c r="EB9" s="103"/>
      <c r="EC9" s="103"/>
      <c r="ED9" s="103"/>
      <c r="EE9" s="103"/>
      <c r="EF9" s="103"/>
      <c r="EG9" s="103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2"/>
      <c r="FP9" s="102"/>
      <c r="FQ9" s="102"/>
      <c r="FR9" s="102"/>
      <c r="FS9" s="102"/>
      <c r="FT9" s="102"/>
      <c r="FU9" s="102"/>
      <c r="FV9" s="102"/>
      <c r="FW9" s="102"/>
      <c r="FX9" s="102"/>
      <c r="FY9" s="102"/>
      <c r="FZ9" s="102"/>
      <c r="GA9" s="102"/>
      <c r="GB9" s="102"/>
      <c r="GC9" s="102"/>
      <c r="GD9" s="102"/>
      <c r="GE9" s="102"/>
      <c r="GF9" s="102"/>
      <c r="GG9" s="102"/>
      <c r="GH9" s="102"/>
      <c r="GI9" s="102"/>
      <c r="GJ9" s="102"/>
      <c r="GK9" s="102"/>
      <c r="GL9" s="102"/>
      <c r="GM9" s="102"/>
      <c r="GN9" s="102"/>
      <c r="GO9" s="102"/>
      <c r="GP9" s="102"/>
      <c r="GQ9" s="102"/>
      <c r="GR9" s="102"/>
      <c r="GS9" s="102"/>
      <c r="GT9" s="102"/>
      <c r="GU9" s="102"/>
      <c r="GV9" s="102"/>
    </row>
    <row r="10" spans="1:204" s="93" customFormat="1" ht="41.25" customHeight="1" x14ac:dyDescent="0.25">
      <c r="A10" s="165" t="s">
        <v>19</v>
      </c>
      <c r="B10" s="99">
        <v>1</v>
      </c>
      <c r="C10" s="99">
        <v>1</v>
      </c>
      <c r="D10" s="141">
        <v>1</v>
      </c>
      <c r="E10" s="142">
        <v>1</v>
      </c>
      <c r="F10" s="77">
        <v>1</v>
      </c>
      <c r="G10" s="101">
        <v>1</v>
      </c>
      <c r="H10" s="100">
        <v>1</v>
      </c>
      <c r="I10" s="77">
        <v>1</v>
      </c>
      <c r="J10" s="101">
        <v>1</v>
      </c>
      <c r="K10" s="100">
        <v>1</v>
      </c>
      <c r="L10" s="99">
        <v>1</v>
      </c>
      <c r="M10" s="137">
        <v>1</v>
      </c>
      <c r="N10" s="77"/>
      <c r="O10" s="76"/>
      <c r="P10" s="110"/>
      <c r="Q10" s="110"/>
      <c r="R10" s="109"/>
      <c r="S10" s="97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7"/>
      <c r="DP10" s="107"/>
      <c r="DQ10" s="107"/>
      <c r="DR10" s="107"/>
      <c r="DS10" s="107"/>
      <c r="DT10" s="107"/>
      <c r="DU10" s="107"/>
      <c r="DV10" s="107"/>
      <c r="DW10" s="107"/>
      <c r="DX10" s="107"/>
      <c r="DY10" s="107"/>
      <c r="DZ10" s="107"/>
      <c r="EA10" s="107"/>
      <c r="EB10" s="107"/>
      <c r="EC10" s="107"/>
      <c r="ED10" s="107"/>
      <c r="EE10" s="107"/>
      <c r="EF10" s="107"/>
      <c r="EG10" s="107"/>
      <c r="EH10" s="106"/>
      <c r="EI10" s="106"/>
      <c r="EJ10" s="106"/>
      <c r="EK10" s="106"/>
      <c r="EL10" s="106"/>
      <c r="EM10" s="106"/>
      <c r="EN10" s="106"/>
      <c r="EO10" s="106"/>
      <c r="EP10" s="106"/>
      <c r="EQ10" s="106"/>
      <c r="ER10" s="106"/>
      <c r="ES10" s="106"/>
      <c r="ET10" s="106"/>
      <c r="EU10" s="106"/>
      <c r="EV10" s="106"/>
      <c r="EW10" s="106"/>
      <c r="EX10" s="106"/>
      <c r="EY10" s="106"/>
      <c r="EZ10" s="106"/>
      <c r="FA10" s="106"/>
      <c r="FB10" s="106"/>
      <c r="FC10" s="106"/>
      <c r="FD10" s="106"/>
      <c r="FE10" s="106"/>
      <c r="FF10" s="106"/>
      <c r="FG10" s="106"/>
      <c r="FH10" s="106"/>
      <c r="FI10" s="106"/>
      <c r="FJ10" s="106"/>
      <c r="FK10" s="106"/>
      <c r="FL10" s="106"/>
      <c r="FM10" s="106"/>
      <c r="FN10" s="106"/>
      <c r="FO10" s="106"/>
      <c r="FP10" s="106"/>
      <c r="FQ10" s="106"/>
      <c r="FR10" s="106"/>
      <c r="FS10" s="106"/>
      <c r="FT10" s="106"/>
      <c r="FU10" s="106"/>
      <c r="FV10" s="106"/>
      <c r="FW10" s="106"/>
      <c r="FX10" s="106"/>
      <c r="FY10" s="106"/>
      <c r="FZ10" s="106"/>
      <c r="GA10" s="106"/>
      <c r="GB10" s="106"/>
      <c r="GC10" s="106"/>
      <c r="GD10" s="106"/>
      <c r="GE10" s="106"/>
      <c r="GF10" s="106"/>
      <c r="GG10" s="106"/>
      <c r="GH10" s="106"/>
      <c r="GI10" s="106"/>
      <c r="GJ10" s="106"/>
      <c r="GK10" s="106"/>
      <c r="GL10" s="106"/>
      <c r="GM10" s="106"/>
      <c r="GN10" s="106"/>
      <c r="GO10" s="106"/>
      <c r="GP10" s="106"/>
      <c r="GQ10" s="106"/>
      <c r="GR10" s="106"/>
      <c r="GS10" s="106"/>
      <c r="GT10" s="106"/>
      <c r="GU10" s="106"/>
      <c r="GV10" s="106"/>
    </row>
    <row r="11" spans="1:204" ht="20.25" customHeight="1" x14ac:dyDescent="0.25">
      <c r="A11" s="165"/>
      <c r="B11" s="143" t="s">
        <v>20</v>
      </c>
      <c r="C11" s="143" t="s">
        <v>21</v>
      </c>
      <c r="D11" s="143">
        <f>C10-D10</f>
        <v>0</v>
      </c>
      <c r="E11" s="143">
        <f>C10-E10</f>
        <v>0</v>
      </c>
      <c r="F11" s="144" t="s">
        <v>14</v>
      </c>
      <c r="G11" s="144">
        <f>F10-G10</f>
        <v>0</v>
      </c>
      <c r="H11" s="144">
        <f>F10-H10</f>
        <v>0</v>
      </c>
      <c r="I11" s="144" t="s">
        <v>14</v>
      </c>
      <c r="J11" s="144">
        <f>I10-J10</f>
        <v>0</v>
      </c>
      <c r="K11" s="144">
        <f>I10-K10</f>
        <v>0</v>
      </c>
      <c r="L11" s="143">
        <f>L10-M10</f>
        <v>0</v>
      </c>
      <c r="M11" s="92">
        <f>IFERROR(L10/M10, 0)</f>
        <v>1</v>
      </c>
      <c r="N11" s="168"/>
      <c r="O11" s="169"/>
      <c r="P11" s="89"/>
      <c r="Q11" s="89"/>
      <c r="R11" s="109"/>
      <c r="S11" s="89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3"/>
      <c r="CV11" s="103"/>
      <c r="CW11" s="103"/>
      <c r="CX11" s="103"/>
      <c r="CY11" s="103"/>
      <c r="CZ11" s="103"/>
      <c r="DA11" s="103"/>
      <c r="DB11" s="103"/>
      <c r="DC11" s="103"/>
      <c r="DD11" s="103"/>
      <c r="DE11" s="103"/>
      <c r="DF11" s="103"/>
      <c r="DG11" s="103"/>
      <c r="DH11" s="103"/>
      <c r="DI11" s="103"/>
      <c r="DJ11" s="103"/>
      <c r="DK11" s="103"/>
      <c r="DL11" s="103"/>
      <c r="DM11" s="103"/>
      <c r="DN11" s="103"/>
      <c r="DO11" s="103"/>
      <c r="DP11" s="103"/>
      <c r="DQ11" s="103"/>
      <c r="DR11" s="103"/>
      <c r="DS11" s="103"/>
      <c r="DT11" s="103"/>
      <c r="DU11" s="103"/>
      <c r="DV11" s="103"/>
      <c r="DW11" s="103"/>
      <c r="DX11" s="103"/>
      <c r="DY11" s="103"/>
      <c r="DZ11" s="103"/>
      <c r="EA11" s="103"/>
      <c r="EB11" s="103"/>
      <c r="EC11" s="103"/>
      <c r="ED11" s="103"/>
      <c r="EE11" s="103"/>
      <c r="EF11" s="103"/>
      <c r="EG11" s="103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</row>
    <row r="12" spans="1:204" s="93" customFormat="1" ht="41.25" customHeight="1" x14ac:dyDescent="0.25">
      <c r="A12" s="165" t="s">
        <v>22</v>
      </c>
      <c r="B12" s="99">
        <v>1</v>
      </c>
      <c r="C12" s="99">
        <v>1</v>
      </c>
      <c r="D12" s="141">
        <v>1</v>
      </c>
      <c r="E12" s="142">
        <v>1</v>
      </c>
      <c r="F12" s="77">
        <v>1</v>
      </c>
      <c r="G12" s="101">
        <v>1</v>
      </c>
      <c r="H12" s="100">
        <v>1</v>
      </c>
      <c r="I12" s="77">
        <v>1</v>
      </c>
      <c r="J12" s="101">
        <v>1</v>
      </c>
      <c r="K12" s="100">
        <v>1</v>
      </c>
      <c r="L12" s="99">
        <v>1</v>
      </c>
      <c r="M12" s="138">
        <v>1</v>
      </c>
      <c r="N12" s="77">
        <v>1</v>
      </c>
      <c r="O12" s="76">
        <v>1</v>
      </c>
      <c r="P12" s="110"/>
      <c r="Q12" s="110"/>
      <c r="R12" s="109"/>
      <c r="S12" s="97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7"/>
      <c r="CN12" s="107"/>
      <c r="CO12" s="107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07"/>
      <c r="DA12" s="107"/>
      <c r="DB12" s="107"/>
      <c r="DC12" s="107"/>
      <c r="DD12" s="107"/>
      <c r="DE12" s="107"/>
      <c r="DF12" s="107"/>
      <c r="DG12" s="107"/>
      <c r="DH12" s="107"/>
      <c r="DI12" s="107"/>
      <c r="DJ12" s="107"/>
      <c r="DK12" s="107"/>
      <c r="DL12" s="107"/>
      <c r="DM12" s="107"/>
      <c r="DN12" s="107"/>
      <c r="DO12" s="107"/>
      <c r="DP12" s="107"/>
      <c r="DQ12" s="107"/>
      <c r="DR12" s="107"/>
      <c r="DS12" s="107"/>
      <c r="DT12" s="107"/>
      <c r="DU12" s="107"/>
      <c r="DV12" s="107"/>
      <c r="DW12" s="107"/>
      <c r="DX12" s="107"/>
      <c r="DY12" s="107"/>
      <c r="DZ12" s="107"/>
      <c r="EA12" s="107"/>
      <c r="EB12" s="107"/>
      <c r="EC12" s="107"/>
      <c r="ED12" s="107"/>
      <c r="EE12" s="107"/>
      <c r="EF12" s="107"/>
      <c r="EG12" s="107"/>
      <c r="EH12" s="106"/>
      <c r="EI12" s="106"/>
      <c r="EJ12" s="106"/>
      <c r="EK12" s="106"/>
      <c r="EL12" s="106"/>
      <c r="EM12" s="106"/>
      <c r="EN12" s="106"/>
      <c r="EO12" s="106"/>
      <c r="EP12" s="106"/>
      <c r="EQ12" s="106"/>
      <c r="ER12" s="106"/>
      <c r="ES12" s="106"/>
      <c r="ET12" s="106"/>
      <c r="EU12" s="106"/>
      <c r="EV12" s="106"/>
      <c r="EW12" s="106"/>
      <c r="EX12" s="106"/>
      <c r="EY12" s="106"/>
      <c r="EZ12" s="106"/>
      <c r="FA12" s="106"/>
      <c r="FB12" s="106"/>
      <c r="FC12" s="106"/>
      <c r="FD12" s="106"/>
      <c r="FE12" s="106"/>
      <c r="FF12" s="106"/>
      <c r="FG12" s="106"/>
      <c r="FH12" s="106"/>
      <c r="FI12" s="106"/>
      <c r="FJ12" s="106"/>
      <c r="FK12" s="106"/>
      <c r="FL12" s="106"/>
      <c r="FM12" s="106"/>
      <c r="FN12" s="106"/>
      <c r="FO12" s="106"/>
      <c r="FP12" s="106"/>
      <c r="FQ12" s="106"/>
      <c r="FR12" s="106"/>
      <c r="FS12" s="106"/>
      <c r="FT12" s="106"/>
      <c r="FU12" s="106"/>
      <c r="FV12" s="106"/>
      <c r="FW12" s="106"/>
      <c r="FX12" s="106"/>
      <c r="FY12" s="106"/>
      <c r="FZ12" s="106"/>
      <c r="GA12" s="106"/>
      <c r="GB12" s="106"/>
      <c r="GC12" s="106"/>
      <c r="GD12" s="106"/>
      <c r="GE12" s="106"/>
      <c r="GF12" s="106"/>
      <c r="GG12" s="106"/>
      <c r="GH12" s="106"/>
      <c r="GI12" s="106"/>
      <c r="GJ12" s="106"/>
      <c r="GK12" s="106"/>
      <c r="GL12" s="106"/>
      <c r="GM12" s="106"/>
      <c r="GN12" s="106"/>
      <c r="GO12" s="106"/>
      <c r="GP12" s="106"/>
      <c r="GQ12" s="106"/>
      <c r="GR12" s="106"/>
      <c r="GS12" s="106"/>
      <c r="GT12" s="106"/>
      <c r="GU12" s="106"/>
      <c r="GV12" s="106"/>
    </row>
    <row r="13" spans="1:204" ht="20.25" customHeight="1" x14ac:dyDescent="0.25">
      <c r="A13" s="165"/>
      <c r="B13" s="143" t="s">
        <v>23</v>
      </c>
      <c r="C13" s="143" t="s">
        <v>23</v>
      </c>
      <c r="D13" s="143">
        <f>C12-D12</f>
        <v>0</v>
      </c>
      <c r="E13" s="143">
        <f>C12-E12</f>
        <v>0</v>
      </c>
      <c r="F13" s="144" t="s">
        <v>14</v>
      </c>
      <c r="G13" s="144">
        <f>F12-G12</f>
        <v>0</v>
      </c>
      <c r="H13" s="144">
        <f>F12-H12</f>
        <v>0</v>
      </c>
      <c r="I13" s="144" t="s">
        <v>14</v>
      </c>
      <c r="J13" s="144">
        <f>I12-J12</f>
        <v>0</v>
      </c>
      <c r="K13" s="144">
        <f>I12-K12</f>
        <v>0</v>
      </c>
      <c r="L13" s="143">
        <f>L12-M12</f>
        <v>0</v>
      </c>
      <c r="M13" s="92">
        <f>IFERROR(L12/M12, 0)</f>
        <v>1</v>
      </c>
      <c r="N13" s="166">
        <f>N12-O12</f>
        <v>0</v>
      </c>
      <c r="O13" s="167" t="str">
        <f>IF(TEXT(N12-O12,"+0,0; -0,0")="+0,0","0,0",TEXT(N12-O12,"+0,0; -0,0"))</f>
        <v>0,0</v>
      </c>
      <c r="P13" s="89"/>
      <c r="Q13" s="89"/>
      <c r="R13" s="109"/>
      <c r="S13" s="89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3"/>
      <c r="DA13" s="103"/>
      <c r="DB13" s="103"/>
      <c r="DC13" s="103"/>
      <c r="DD13" s="103"/>
      <c r="DE13" s="103"/>
      <c r="DF13" s="103"/>
      <c r="DG13" s="103"/>
      <c r="DH13" s="103"/>
      <c r="DI13" s="103"/>
      <c r="DJ13" s="103"/>
      <c r="DK13" s="103"/>
      <c r="DL13" s="103"/>
      <c r="DM13" s="103"/>
      <c r="DN13" s="103"/>
      <c r="DO13" s="103"/>
      <c r="DP13" s="103"/>
      <c r="DQ13" s="103"/>
      <c r="DR13" s="103"/>
      <c r="DS13" s="103"/>
      <c r="DT13" s="103"/>
      <c r="DU13" s="103"/>
      <c r="DV13" s="103"/>
      <c r="DW13" s="103"/>
      <c r="DX13" s="103"/>
      <c r="DY13" s="103"/>
      <c r="DZ13" s="103"/>
      <c r="EA13" s="103"/>
      <c r="EB13" s="103"/>
      <c r="EC13" s="103"/>
      <c r="ED13" s="103"/>
      <c r="EE13" s="103"/>
      <c r="EF13" s="103"/>
      <c r="EG13" s="103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</row>
    <row r="14" spans="1:204" s="93" customFormat="1" ht="41.25" customHeight="1" x14ac:dyDescent="0.25">
      <c r="A14" s="165" t="s">
        <v>24</v>
      </c>
      <c r="B14" s="99">
        <v>1</v>
      </c>
      <c r="C14" s="99">
        <v>1</v>
      </c>
      <c r="D14" s="141">
        <v>1</v>
      </c>
      <c r="E14" s="142">
        <v>1</v>
      </c>
      <c r="F14" s="77">
        <v>1</v>
      </c>
      <c r="G14" s="101">
        <v>1</v>
      </c>
      <c r="H14" s="100">
        <v>1</v>
      </c>
      <c r="I14" s="77">
        <v>1</v>
      </c>
      <c r="J14" s="101">
        <v>1</v>
      </c>
      <c r="K14" s="100">
        <v>1</v>
      </c>
      <c r="L14" s="99">
        <v>1</v>
      </c>
      <c r="M14" s="138">
        <v>1</v>
      </c>
      <c r="N14" s="77">
        <v>1</v>
      </c>
      <c r="O14" s="76">
        <v>1</v>
      </c>
      <c r="P14" s="110"/>
      <c r="Q14" s="110"/>
      <c r="R14" s="109"/>
      <c r="S14" s="97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6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07"/>
      <c r="CF14" s="107"/>
      <c r="CG14" s="107"/>
      <c r="CH14" s="107"/>
      <c r="CI14" s="107"/>
      <c r="CJ14" s="107"/>
      <c r="CK14" s="107"/>
      <c r="CL14" s="107"/>
      <c r="CM14" s="107"/>
      <c r="CN14" s="107"/>
      <c r="CO14" s="107"/>
      <c r="CP14" s="107"/>
      <c r="CQ14" s="107"/>
      <c r="CR14" s="107"/>
      <c r="CS14" s="107"/>
      <c r="CT14" s="107"/>
      <c r="CU14" s="107"/>
      <c r="CV14" s="107"/>
      <c r="CW14" s="107"/>
      <c r="CX14" s="107"/>
      <c r="CY14" s="107"/>
      <c r="CZ14" s="107"/>
      <c r="DA14" s="107"/>
      <c r="DB14" s="107"/>
      <c r="DC14" s="107"/>
      <c r="DD14" s="107"/>
      <c r="DE14" s="107"/>
      <c r="DF14" s="107"/>
      <c r="DG14" s="107"/>
      <c r="DH14" s="107"/>
      <c r="DI14" s="107"/>
      <c r="DJ14" s="107"/>
      <c r="DK14" s="107"/>
      <c r="DL14" s="107"/>
      <c r="DM14" s="107"/>
      <c r="DN14" s="107"/>
      <c r="DO14" s="107"/>
      <c r="DP14" s="107"/>
      <c r="DQ14" s="107"/>
      <c r="DR14" s="107"/>
      <c r="DS14" s="107"/>
      <c r="DT14" s="107"/>
      <c r="DU14" s="107"/>
      <c r="DV14" s="107"/>
      <c r="DW14" s="107"/>
      <c r="DX14" s="107"/>
      <c r="DY14" s="107"/>
      <c r="DZ14" s="107"/>
      <c r="EA14" s="107"/>
      <c r="EB14" s="107"/>
      <c r="EC14" s="107"/>
      <c r="ED14" s="107"/>
      <c r="EE14" s="107"/>
      <c r="EF14" s="107"/>
      <c r="EG14" s="107"/>
      <c r="EH14" s="106"/>
      <c r="EI14" s="106"/>
      <c r="EJ14" s="106"/>
      <c r="EK14" s="106"/>
      <c r="EL14" s="106"/>
      <c r="EM14" s="106"/>
      <c r="EN14" s="106"/>
      <c r="EO14" s="106"/>
      <c r="EP14" s="106"/>
      <c r="EQ14" s="106"/>
      <c r="ER14" s="106"/>
      <c r="ES14" s="106"/>
      <c r="ET14" s="106"/>
      <c r="EU14" s="106"/>
      <c r="EV14" s="106"/>
      <c r="EW14" s="106"/>
      <c r="EX14" s="106"/>
      <c r="EY14" s="106"/>
      <c r="EZ14" s="106"/>
      <c r="FA14" s="106"/>
      <c r="FB14" s="106"/>
      <c r="FC14" s="106"/>
      <c r="FD14" s="106"/>
      <c r="FE14" s="106"/>
      <c r="FF14" s="106"/>
      <c r="FG14" s="106"/>
      <c r="FH14" s="106"/>
      <c r="FI14" s="106"/>
      <c r="FJ14" s="106"/>
      <c r="FK14" s="106"/>
      <c r="FL14" s="106"/>
      <c r="FM14" s="106"/>
      <c r="FN14" s="106"/>
      <c r="FO14" s="106"/>
      <c r="FP14" s="106"/>
      <c r="FQ14" s="106"/>
      <c r="FR14" s="106"/>
      <c r="FS14" s="106"/>
      <c r="FT14" s="106"/>
      <c r="FU14" s="106"/>
      <c r="FV14" s="106"/>
      <c r="FW14" s="106"/>
      <c r="FX14" s="106"/>
      <c r="FY14" s="106"/>
      <c r="FZ14" s="106"/>
      <c r="GA14" s="106"/>
      <c r="GB14" s="106"/>
      <c r="GC14" s="106"/>
      <c r="GD14" s="106"/>
      <c r="GE14" s="106"/>
      <c r="GF14" s="106"/>
      <c r="GG14" s="106"/>
      <c r="GH14" s="106"/>
      <c r="GI14" s="106"/>
      <c r="GJ14" s="106"/>
      <c r="GK14" s="106"/>
      <c r="GL14" s="106"/>
      <c r="GM14" s="106"/>
      <c r="GN14" s="106"/>
      <c r="GO14" s="106"/>
      <c r="GP14" s="106"/>
      <c r="GQ14" s="106"/>
      <c r="GR14" s="106"/>
      <c r="GS14" s="106"/>
      <c r="GT14" s="106"/>
      <c r="GU14" s="106"/>
      <c r="GV14" s="106"/>
    </row>
    <row r="15" spans="1:204" ht="20.25" customHeight="1" x14ac:dyDescent="0.25">
      <c r="A15" s="165"/>
      <c r="B15" s="143" t="s">
        <v>25</v>
      </c>
      <c r="C15" s="143" t="s">
        <v>26</v>
      </c>
      <c r="D15" s="143">
        <f>C14-D14</f>
        <v>0</v>
      </c>
      <c r="E15" s="143">
        <f>C14-E14</f>
        <v>0</v>
      </c>
      <c r="F15" s="144" t="s">
        <v>27</v>
      </c>
      <c r="G15" s="144">
        <f>F14-G14</f>
        <v>0</v>
      </c>
      <c r="H15" s="144">
        <f>F14-H14</f>
        <v>0</v>
      </c>
      <c r="I15" s="144" t="s">
        <v>14</v>
      </c>
      <c r="J15" s="144">
        <f>I14-J14</f>
        <v>0</v>
      </c>
      <c r="K15" s="144">
        <f>I14-K14</f>
        <v>0</v>
      </c>
      <c r="L15" s="143">
        <f>L14-M14</f>
        <v>0</v>
      </c>
      <c r="M15" s="92">
        <f>IFERROR(L14/M14, 0)</f>
        <v>1</v>
      </c>
      <c r="N15" s="166">
        <f>N14-O14</f>
        <v>0</v>
      </c>
      <c r="O15" s="167" t="str">
        <f>IF(TEXT(N14-O14,"+0,0; -0,0")="+0,0","0,0",TEXT(N14-O14,"+0,0; -0,0"))</f>
        <v>0,0</v>
      </c>
      <c r="P15" s="89"/>
      <c r="Q15" s="89"/>
      <c r="R15" s="109"/>
      <c r="S15" s="89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3"/>
      <c r="CC15" s="103"/>
      <c r="CD15" s="103"/>
      <c r="CE15" s="103"/>
      <c r="CF15" s="103"/>
      <c r="CG15" s="103"/>
      <c r="CH15" s="103"/>
      <c r="CI15" s="103"/>
      <c r="CJ15" s="103"/>
      <c r="CK15" s="103"/>
      <c r="CL15" s="103"/>
      <c r="CM15" s="103"/>
      <c r="CN15" s="103"/>
      <c r="CO15" s="103"/>
      <c r="CP15" s="103"/>
      <c r="CQ15" s="103"/>
      <c r="CR15" s="103"/>
      <c r="CS15" s="103"/>
      <c r="CT15" s="103"/>
      <c r="CU15" s="103"/>
      <c r="CV15" s="103"/>
      <c r="CW15" s="103"/>
      <c r="CX15" s="103"/>
      <c r="CY15" s="103"/>
      <c r="CZ15" s="103"/>
      <c r="DA15" s="103"/>
      <c r="DB15" s="103"/>
      <c r="DC15" s="103"/>
      <c r="DD15" s="103"/>
      <c r="DE15" s="103"/>
      <c r="DF15" s="103"/>
      <c r="DG15" s="103"/>
      <c r="DH15" s="103"/>
      <c r="DI15" s="103"/>
      <c r="DJ15" s="103"/>
      <c r="DK15" s="103"/>
      <c r="DL15" s="103"/>
      <c r="DM15" s="103"/>
      <c r="DN15" s="103"/>
      <c r="DO15" s="103"/>
      <c r="DP15" s="103"/>
      <c r="DQ15" s="103"/>
      <c r="DR15" s="103"/>
      <c r="DS15" s="103"/>
      <c r="DT15" s="103"/>
      <c r="DU15" s="103"/>
      <c r="DV15" s="103"/>
      <c r="DW15" s="103"/>
      <c r="DX15" s="103"/>
      <c r="DY15" s="103"/>
      <c r="DZ15" s="103"/>
      <c r="EA15" s="103"/>
      <c r="EB15" s="103"/>
      <c r="EC15" s="103"/>
      <c r="ED15" s="103"/>
      <c r="EE15" s="103"/>
      <c r="EF15" s="103"/>
      <c r="EG15" s="103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102"/>
      <c r="GG15" s="102"/>
      <c r="GH15" s="102"/>
      <c r="GI15" s="102"/>
      <c r="GJ15" s="102"/>
      <c r="GK15" s="102"/>
      <c r="GL15" s="102"/>
      <c r="GM15" s="102"/>
      <c r="GN15" s="102"/>
      <c r="GO15" s="102"/>
      <c r="GP15" s="102"/>
      <c r="GQ15" s="102"/>
      <c r="GR15" s="102"/>
      <c r="GS15" s="102"/>
      <c r="GT15" s="102"/>
      <c r="GU15" s="102"/>
      <c r="GV15" s="102"/>
    </row>
    <row r="16" spans="1:204" s="105" customFormat="1" ht="41.25" customHeight="1" x14ac:dyDescent="0.25">
      <c r="A16" s="165" t="s">
        <v>28</v>
      </c>
      <c r="B16" s="99">
        <v>1</v>
      </c>
      <c r="C16" s="99">
        <v>1</v>
      </c>
      <c r="D16" s="141">
        <v>1</v>
      </c>
      <c r="E16" s="142">
        <v>1</v>
      </c>
      <c r="F16" s="77">
        <v>1</v>
      </c>
      <c r="G16" s="101">
        <v>1</v>
      </c>
      <c r="H16" s="100">
        <v>1</v>
      </c>
      <c r="I16" s="111">
        <v>1</v>
      </c>
      <c r="J16" s="101">
        <v>1</v>
      </c>
      <c r="K16" s="100">
        <v>1</v>
      </c>
      <c r="L16" s="99">
        <v>1</v>
      </c>
      <c r="M16" s="138">
        <v>1</v>
      </c>
      <c r="N16" s="77">
        <v>1</v>
      </c>
      <c r="O16" s="76">
        <v>1</v>
      </c>
      <c r="P16" s="110"/>
      <c r="Q16" s="110"/>
      <c r="R16" s="109"/>
      <c r="S16" s="97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6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  <c r="CI16" s="107"/>
      <c r="CJ16" s="107"/>
      <c r="CK16" s="107"/>
      <c r="CL16" s="107"/>
      <c r="CM16" s="107"/>
      <c r="CN16" s="107"/>
      <c r="CO16" s="107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7"/>
      <c r="DN16" s="107"/>
      <c r="DO16" s="107"/>
      <c r="DP16" s="107"/>
      <c r="DQ16" s="107"/>
      <c r="DR16" s="107"/>
      <c r="DS16" s="107"/>
      <c r="DT16" s="107"/>
      <c r="DU16" s="107"/>
      <c r="DV16" s="107"/>
      <c r="DW16" s="107"/>
      <c r="DX16" s="107"/>
      <c r="DY16" s="107"/>
      <c r="DZ16" s="107"/>
      <c r="EA16" s="107"/>
      <c r="EB16" s="107"/>
      <c r="EC16" s="107"/>
      <c r="ED16" s="107"/>
      <c r="EE16" s="107"/>
      <c r="EF16" s="107"/>
      <c r="EG16" s="107"/>
      <c r="EH16" s="106"/>
      <c r="EI16" s="106"/>
      <c r="EJ16" s="106"/>
      <c r="EK16" s="106"/>
      <c r="EL16" s="106"/>
      <c r="EM16" s="106"/>
      <c r="EN16" s="106"/>
      <c r="EO16" s="106"/>
      <c r="EP16" s="106"/>
      <c r="EQ16" s="106"/>
      <c r="ER16" s="106"/>
      <c r="ES16" s="106"/>
      <c r="ET16" s="106"/>
      <c r="EU16" s="106"/>
      <c r="EV16" s="106"/>
      <c r="EW16" s="106"/>
      <c r="EX16" s="106"/>
      <c r="EY16" s="106"/>
      <c r="EZ16" s="106"/>
      <c r="FA16" s="106"/>
      <c r="FB16" s="106"/>
      <c r="FC16" s="106"/>
      <c r="FD16" s="106"/>
      <c r="FE16" s="106"/>
      <c r="FF16" s="106"/>
      <c r="FG16" s="106"/>
      <c r="FH16" s="106"/>
      <c r="FI16" s="106"/>
      <c r="FJ16" s="106"/>
      <c r="FK16" s="106"/>
      <c r="FL16" s="106"/>
      <c r="FM16" s="106"/>
      <c r="FN16" s="106"/>
      <c r="FO16" s="106"/>
      <c r="FP16" s="106"/>
      <c r="FQ16" s="106"/>
      <c r="FR16" s="106"/>
      <c r="FS16" s="106"/>
      <c r="FT16" s="106"/>
      <c r="FU16" s="106"/>
      <c r="FV16" s="106"/>
      <c r="FW16" s="106"/>
      <c r="FX16" s="106"/>
      <c r="FY16" s="106"/>
      <c r="FZ16" s="106"/>
      <c r="GA16" s="106"/>
      <c r="GB16" s="106"/>
      <c r="GC16" s="106"/>
      <c r="GD16" s="106"/>
      <c r="GE16" s="106"/>
      <c r="GF16" s="106"/>
      <c r="GG16" s="106"/>
      <c r="GH16" s="106"/>
      <c r="GI16" s="106"/>
      <c r="GJ16" s="106"/>
      <c r="GK16" s="106"/>
      <c r="GL16" s="106"/>
      <c r="GM16" s="106"/>
      <c r="GN16" s="106"/>
      <c r="GO16" s="106"/>
      <c r="GP16" s="106"/>
      <c r="GQ16" s="106"/>
      <c r="GR16" s="106"/>
      <c r="GS16" s="106"/>
      <c r="GT16" s="106"/>
      <c r="GU16" s="106"/>
      <c r="GV16" s="106"/>
    </row>
    <row r="17" spans="1:211" s="85" customFormat="1" ht="20.25" customHeight="1" x14ac:dyDescent="0.25">
      <c r="A17" s="165"/>
      <c r="B17" s="143" t="s">
        <v>29</v>
      </c>
      <c r="C17" s="143" t="s">
        <v>30</v>
      </c>
      <c r="D17" s="143">
        <f>C16-D16</f>
        <v>0</v>
      </c>
      <c r="E17" s="143">
        <f>C16-E16</f>
        <v>0</v>
      </c>
      <c r="F17" s="144" t="s">
        <v>31</v>
      </c>
      <c r="G17" s="144">
        <f>F16-G16</f>
        <v>0</v>
      </c>
      <c r="H17" s="144">
        <f>F16-H16</f>
        <v>0</v>
      </c>
      <c r="I17" s="144" t="s">
        <v>32</v>
      </c>
      <c r="J17" s="144">
        <f>I16-J16</f>
        <v>0</v>
      </c>
      <c r="K17" s="144">
        <f>I16-K16</f>
        <v>0</v>
      </c>
      <c r="L17" s="143">
        <f>L16-M16</f>
        <v>0</v>
      </c>
      <c r="M17" s="92">
        <f>IFERROR(L16/M16, 0)</f>
        <v>1</v>
      </c>
      <c r="N17" s="166">
        <f>N16-O16</f>
        <v>0</v>
      </c>
      <c r="O17" s="167" t="str">
        <f>IF(TEXT(N16-O16,"+0,0; -0,0")="+0,0","0,0",TEXT(N16-O16,"+0,0; -0,0"))</f>
        <v>0,0</v>
      </c>
      <c r="P17" s="89"/>
      <c r="Q17" s="89"/>
      <c r="R17" s="89"/>
      <c r="S17" s="89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103"/>
      <c r="BY17" s="103"/>
      <c r="BZ17" s="103"/>
      <c r="CA17" s="103"/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  <c r="DD17" s="103"/>
      <c r="DE17" s="103"/>
      <c r="DF17" s="103"/>
      <c r="DG17" s="103"/>
      <c r="DH17" s="103"/>
      <c r="DI17" s="103"/>
      <c r="DJ17" s="103"/>
      <c r="DK17" s="103"/>
      <c r="DL17" s="103"/>
      <c r="DM17" s="103"/>
      <c r="DN17" s="103"/>
      <c r="DO17" s="103"/>
      <c r="DP17" s="103"/>
      <c r="DQ17" s="103"/>
      <c r="DR17" s="103"/>
      <c r="DS17" s="103"/>
      <c r="DT17" s="103"/>
      <c r="DU17" s="103"/>
      <c r="DV17" s="103"/>
      <c r="DW17" s="103"/>
      <c r="DX17" s="103"/>
      <c r="DY17" s="103"/>
      <c r="DZ17" s="103"/>
      <c r="EA17" s="103"/>
      <c r="EB17" s="103"/>
      <c r="EC17" s="103"/>
      <c r="ED17" s="103"/>
      <c r="EE17" s="103"/>
      <c r="EF17" s="103"/>
      <c r="EG17" s="103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2"/>
      <c r="GP17" s="102"/>
      <c r="GQ17" s="102"/>
      <c r="GR17" s="102"/>
      <c r="GS17" s="102"/>
      <c r="GT17" s="102"/>
      <c r="GU17" s="102"/>
      <c r="GV17" s="102"/>
    </row>
    <row r="18" spans="1:211" s="93" customFormat="1" ht="35.25" customHeight="1" x14ac:dyDescent="0.25">
      <c r="A18" s="170" t="s">
        <v>33</v>
      </c>
      <c r="B18" s="99"/>
      <c r="C18" s="99">
        <f t="shared" ref="C18:M18" si="0">C16+C14+C12+C10+C8+C6</f>
        <v>6</v>
      </c>
      <c r="D18" s="141">
        <f t="shared" si="0"/>
        <v>6</v>
      </c>
      <c r="E18" s="142">
        <f t="shared" si="0"/>
        <v>6</v>
      </c>
      <c r="F18" s="77">
        <f t="shared" si="0"/>
        <v>6</v>
      </c>
      <c r="G18" s="101">
        <f t="shared" si="0"/>
        <v>6</v>
      </c>
      <c r="H18" s="100">
        <f t="shared" si="0"/>
        <v>6</v>
      </c>
      <c r="I18" s="77">
        <f t="shared" si="0"/>
        <v>6</v>
      </c>
      <c r="J18" s="101">
        <f t="shared" si="0"/>
        <v>6</v>
      </c>
      <c r="K18" s="100">
        <f t="shared" si="0"/>
        <v>6</v>
      </c>
      <c r="L18" s="99">
        <f t="shared" si="0"/>
        <v>6</v>
      </c>
      <c r="M18" s="138">
        <f t="shared" si="0"/>
        <v>6</v>
      </c>
      <c r="N18" s="77"/>
      <c r="O18" s="77"/>
      <c r="P18" s="98"/>
      <c r="Q18" s="98"/>
      <c r="R18" s="98"/>
      <c r="S18" s="97"/>
      <c r="T18" s="96"/>
      <c r="U18" s="96"/>
      <c r="V18" s="96"/>
      <c r="W18" s="96"/>
      <c r="X18" s="96"/>
      <c r="Y18" s="96"/>
      <c r="Z18" s="96"/>
      <c r="AA18" s="96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 s="95"/>
      <c r="CJ18" s="95"/>
      <c r="CK18" s="95"/>
      <c r="CL18" s="95"/>
      <c r="CM18" s="95"/>
      <c r="CN18" s="95"/>
      <c r="CO18" s="95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5"/>
      <c r="DA18" s="95"/>
      <c r="DB18" s="95"/>
      <c r="DC18" s="95"/>
      <c r="DD18" s="95"/>
      <c r="DE18" s="95"/>
      <c r="DF18" s="95"/>
      <c r="DG18" s="95"/>
      <c r="DH18" s="95"/>
      <c r="DI18" s="95"/>
      <c r="DJ18" s="95"/>
      <c r="DK18" s="95"/>
      <c r="DL18" s="95"/>
      <c r="DM18" s="95"/>
      <c r="DN18" s="95"/>
      <c r="DO18" s="95"/>
      <c r="DP18" s="95"/>
      <c r="DQ18" s="95"/>
      <c r="DR18" s="95"/>
      <c r="DS18" s="95"/>
      <c r="DT18" s="95"/>
      <c r="DU18" s="95"/>
      <c r="DV18" s="95"/>
      <c r="DW18" s="95"/>
      <c r="DX18" s="95"/>
      <c r="DY18" s="95"/>
      <c r="DZ18" s="95"/>
      <c r="EA18" s="95"/>
      <c r="EB18" s="95"/>
      <c r="EC18" s="95"/>
      <c r="ED18" s="95"/>
      <c r="EE18" s="95"/>
      <c r="EF18" s="95"/>
      <c r="EG18" s="95"/>
      <c r="EH18" s="94"/>
      <c r="EI18" s="94"/>
      <c r="EJ18" s="94"/>
      <c r="EK18" s="94"/>
      <c r="EL18" s="94"/>
      <c r="EM18" s="94"/>
      <c r="EN18" s="94"/>
      <c r="EO18" s="94"/>
      <c r="EP18" s="94"/>
      <c r="EQ18" s="94"/>
      <c r="ER18" s="94"/>
      <c r="ES18" s="94"/>
      <c r="ET18" s="94"/>
      <c r="EU18" s="94"/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4"/>
      <c r="FH18" s="94"/>
      <c r="FI18" s="94"/>
      <c r="FJ18" s="94"/>
      <c r="FK18" s="94"/>
      <c r="FL18" s="94"/>
      <c r="FM18" s="94"/>
      <c r="FN18" s="94"/>
      <c r="FO18" s="94"/>
      <c r="FP18" s="94"/>
      <c r="FQ18" s="94"/>
      <c r="FR18" s="94"/>
      <c r="FS18" s="94"/>
      <c r="FT18" s="94"/>
      <c r="FU18" s="94"/>
      <c r="FV18" s="94"/>
      <c r="FW18" s="94"/>
      <c r="FX18" s="94"/>
      <c r="FY18" s="94"/>
      <c r="FZ18" s="94"/>
      <c r="GA18" s="94"/>
      <c r="GB18" s="94"/>
      <c r="GC18" s="94"/>
      <c r="GD18" s="94"/>
      <c r="GE18" s="94"/>
      <c r="GF18" s="94"/>
      <c r="GG18" s="94"/>
      <c r="GH18" s="94"/>
      <c r="GI18" s="94"/>
      <c r="GJ18" s="94"/>
      <c r="GK18" s="94"/>
      <c r="GL18" s="94"/>
      <c r="GM18" s="94"/>
      <c r="GN18" s="94"/>
      <c r="GO18" s="94"/>
      <c r="GP18" s="94"/>
      <c r="GQ18" s="94"/>
      <c r="GR18" s="94"/>
      <c r="GS18" s="94"/>
      <c r="GT18" s="94"/>
      <c r="GU18" s="94"/>
      <c r="GV18" s="94"/>
    </row>
    <row r="19" spans="1:211" s="85" customFormat="1" ht="16.5" customHeight="1" x14ac:dyDescent="0.25">
      <c r="A19" s="170"/>
      <c r="B19" s="143"/>
      <c r="C19" s="143">
        <f>C7+C9+C11+C13+C15+C17</f>
        <v>1.870000000000001</v>
      </c>
      <c r="D19" s="143">
        <f>C18-D18</f>
        <v>0</v>
      </c>
      <c r="E19" s="143">
        <f>C18-E18</f>
        <v>0</v>
      </c>
      <c r="F19" s="144">
        <f>F7+F9+F11+F13+F15+F17</f>
        <v>-13.14</v>
      </c>
      <c r="G19" s="144">
        <f>F18-G18</f>
        <v>0</v>
      </c>
      <c r="H19" s="144">
        <f>F18-H18</f>
        <v>0</v>
      </c>
      <c r="I19" s="144">
        <f>I7+I9+I11+I13+I15+I17</f>
        <v>83</v>
      </c>
      <c r="J19" s="144">
        <f>I18-J18</f>
        <v>0</v>
      </c>
      <c r="K19" s="144">
        <f>I18-K18</f>
        <v>0</v>
      </c>
      <c r="L19" s="143">
        <f>L18-M18</f>
        <v>0</v>
      </c>
      <c r="M19" s="92">
        <f>IFERROR(L18/M18, 0)</f>
        <v>1</v>
      </c>
      <c r="N19" s="91"/>
      <c r="O19" s="90"/>
      <c r="P19" s="89"/>
      <c r="Q19" s="89"/>
      <c r="R19" s="89"/>
      <c r="S19" s="89"/>
      <c r="T19" s="88"/>
      <c r="U19" s="88"/>
      <c r="V19" s="88"/>
      <c r="W19" s="88"/>
      <c r="X19" s="88"/>
      <c r="Y19" s="88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</row>
    <row r="20" spans="1:211" s="80" customFormat="1" ht="28.5" customHeight="1" x14ac:dyDescent="0.3">
      <c r="A20" s="171" t="s">
        <v>34</v>
      </c>
      <c r="B20" s="99">
        <v>1</v>
      </c>
      <c r="C20" s="99">
        <v>1</v>
      </c>
      <c r="D20" s="141">
        <v>1</v>
      </c>
      <c r="E20" s="142">
        <v>1</v>
      </c>
      <c r="F20" s="77">
        <v>1</v>
      </c>
      <c r="G20" s="101">
        <v>1</v>
      </c>
      <c r="H20" s="100">
        <v>1</v>
      </c>
      <c r="I20" s="77">
        <v>1</v>
      </c>
      <c r="J20" s="101">
        <v>1</v>
      </c>
      <c r="K20" s="100">
        <v>0</v>
      </c>
      <c r="L20" s="99">
        <v>0</v>
      </c>
      <c r="M20" s="138">
        <v>0</v>
      </c>
      <c r="N20" s="77">
        <v>1</v>
      </c>
      <c r="O20" s="76">
        <v>1</v>
      </c>
      <c r="P20" s="84"/>
      <c r="Q20" s="84"/>
      <c r="R20" s="84"/>
      <c r="S20" s="84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82"/>
      <c r="FQ20" s="81"/>
    </row>
    <row r="21" spans="1:211" s="55" customFormat="1" ht="18.75" customHeight="1" x14ac:dyDescent="0.3">
      <c r="A21" s="171"/>
      <c r="B21" s="143" t="s">
        <v>35</v>
      </c>
      <c r="C21" s="143" t="s">
        <v>39</v>
      </c>
      <c r="D21" s="143">
        <f>C20-D20</f>
        <v>0</v>
      </c>
      <c r="E21" s="143">
        <f>C20-E20</f>
        <v>0</v>
      </c>
      <c r="F21" s="144" t="s">
        <v>36</v>
      </c>
      <c r="G21" s="144">
        <f>F20-G20</f>
        <v>0</v>
      </c>
      <c r="H21" s="144">
        <f>F20-H20</f>
        <v>0</v>
      </c>
      <c r="I21" s="144" t="s">
        <v>36</v>
      </c>
      <c r="J21" s="144">
        <f>I20-J20</f>
        <v>0</v>
      </c>
      <c r="K21" s="144">
        <f>I20-K20</f>
        <v>1</v>
      </c>
      <c r="L21" s="143">
        <f>L20-M20</f>
        <v>0</v>
      </c>
      <c r="M21" s="92">
        <f>IFERROR(L20/M20, 0)</f>
        <v>0</v>
      </c>
      <c r="N21" s="166">
        <f>N20-O20</f>
        <v>0</v>
      </c>
      <c r="O21" s="167" t="str">
        <f>IF(TEXT(N20-O20,"+0,0; -0,0")="+0,0","0,0",TEXT(N20-O20,"+0,0; -0,0"))</f>
        <v>0,0</v>
      </c>
      <c r="P21" s="79"/>
      <c r="Q21" s="79"/>
      <c r="R21" s="79"/>
      <c r="S21" s="79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78"/>
    </row>
    <row r="22" spans="1:211" s="63" customFormat="1" ht="28.5" customHeight="1" x14ac:dyDescent="0.3">
      <c r="A22" s="171" t="s">
        <v>37</v>
      </c>
      <c r="B22" s="99">
        <v>1</v>
      </c>
      <c r="C22" s="99">
        <v>1</v>
      </c>
      <c r="D22" s="141">
        <v>1</v>
      </c>
      <c r="E22" s="142">
        <v>1</v>
      </c>
      <c r="F22" s="77">
        <v>1</v>
      </c>
      <c r="G22" s="101">
        <v>1</v>
      </c>
      <c r="H22" s="100">
        <v>1</v>
      </c>
      <c r="I22" s="111">
        <v>1</v>
      </c>
      <c r="J22" s="101">
        <v>1</v>
      </c>
      <c r="K22" s="100">
        <v>0</v>
      </c>
      <c r="L22" s="99">
        <v>0</v>
      </c>
      <c r="M22" s="138">
        <v>0</v>
      </c>
      <c r="N22" s="77">
        <v>1</v>
      </c>
      <c r="O22" s="76">
        <v>1</v>
      </c>
      <c r="P22" s="75"/>
      <c r="Q22" s="74"/>
      <c r="R22" s="74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4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</row>
    <row r="23" spans="1:211" s="55" customFormat="1" ht="18.75" customHeight="1" x14ac:dyDescent="0.4">
      <c r="A23" s="171"/>
      <c r="B23" s="143" t="s">
        <v>35</v>
      </c>
      <c r="C23" s="143" t="s">
        <v>30</v>
      </c>
      <c r="D23" s="143">
        <f>C22-D22</f>
        <v>0</v>
      </c>
      <c r="E23" s="143">
        <f>C22-E22</f>
        <v>0</v>
      </c>
      <c r="F23" s="144" t="s">
        <v>31</v>
      </c>
      <c r="G23" s="144">
        <f>F22-G22</f>
        <v>0</v>
      </c>
      <c r="H23" s="144">
        <f>F22-H22</f>
        <v>0</v>
      </c>
      <c r="I23" s="144" t="s">
        <v>32</v>
      </c>
      <c r="J23" s="144">
        <f>I22-J22</f>
        <v>0</v>
      </c>
      <c r="K23" s="144">
        <f>I22-K22</f>
        <v>1</v>
      </c>
      <c r="L23" s="143">
        <f>L22-M22</f>
        <v>0</v>
      </c>
      <c r="M23" s="92">
        <f>IFERROR(L22/M22, 0)</f>
        <v>0</v>
      </c>
      <c r="N23" s="166">
        <f>N22-O22</f>
        <v>0</v>
      </c>
      <c r="O23" s="167" t="str">
        <f>IF(TEXT(N22-O22,"+0,0; -0,0")="+0,0","0,0",TEXT(N22-O22,"+0,0; -0,0"))</f>
        <v>0,0</v>
      </c>
      <c r="P23" s="57"/>
      <c r="Q23" s="56"/>
      <c r="R23" s="56"/>
      <c r="S23" s="56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6"/>
    </row>
    <row r="24" spans="1:211" s="55" customFormat="1" ht="22.2" customHeight="1" x14ac:dyDescent="0.4">
      <c r="A24" s="61"/>
      <c r="B24" s="60"/>
      <c r="C24" s="60"/>
      <c r="D24" s="60"/>
      <c r="E24" s="59"/>
      <c r="F24" s="59"/>
      <c r="G24" s="59"/>
      <c r="H24" s="59"/>
      <c r="I24" s="59"/>
      <c r="J24" s="58"/>
      <c r="K24" s="73"/>
      <c r="L24" s="73"/>
      <c r="M24" s="73"/>
      <c r="N24" s="58"/>
      <c r="O24" s="58"/>
      <c r="P24" s="72"/>
      <c r="Q24" s="72"/>
      <c r="R24" s="72"/>
      <c r="S24" s="71"/>
      <c r="T24" s="70"/>
      <c r="U24" s="69"/>
      <c r="V24" s="69"/>
      <c r="W24" s="57"/>
      <c r="X24" s="68"/>
      <c r="Y24" s="68"/>
      <c r="Z24" s="68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6"/>
    </row>
    <row r="25" spans="1:211" s="55" customFormat="1" ht="39" customHeight="1" x14ac:dyDescent="0.3">
      <c r="A25" s="67"/>
      <c r="B25" s="67"/>
      <c r="C25" s="146" t="s">
        <v>38</v>
      </c>
      <c r="D25" s="147"/>
      <c r="E25" s="147"/>
      <c r="F25" s="147"/>
      <c r="G25" s="67"/>
      <c r="H25" s="67"/>
      <c r="I25" s="67"/>
      <c r="J25" s="67"/>
      <c r="K25" s="145"/>
      <c r="L25" s="145"/>
      <c r="M25" s="145"/>
      <c r="N25" s="67"/>
      <c r="O25" s="67"/>
      <c r="P25" s="67"/>
      <c r="Q25" s="67"/>
      <c r="R25" s="67"/>
      <c r="S25" s="67"/>
      <c r="T25" s="67"/>
      <c r="U25" s="67"/>
      <c r="V25" s="67"/>
      <c r="W25" s="57"/>
      <c r="X25" s="54"/>
      <c r="Y25" s="54"/>
      <c r="Z25" s="54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4"/>
      <c r="DN25" s="63"/>
      <c r="DO25" s="63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62"/>
      <c r="GL25" s="62"/>
      <c r="GM25" s="62"/>
      <c r="GN25" s="62"/>
      <c r="GO25" s="62"/>
      <c r="GP25" s="62"/>
      <c r="GQ25" s="62"/>
      <c r="GR25" s="62"/>
      <c r="GS25" s="62"/>
      <c r="GT25" s="62"/>
      <c r="GU25" s="62"/>
      <c r="GV25" s="62"/>
      <c r="GW25" s="62"/>
      <c r="GX25" s="62"/>
      <c r="GY25" s="62"/>
      <c r="GZ25" s="62"/>
      <c r="HA25" s="62"/>
      <c r="HB25" s="62"/>
      <c r="HC25" s="62"/>
    </row>
    <row r="26" spans="1:211" s="55" customFormat="1" ht="18.75" customHeight="1" x14ac:dyDescent="0.4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58"/>
      <c r="Q26" s="58"/>
      <c r="R26" s="58"/>
      <c r="S26" s="58"/>
      <c r="T26" s="58"/>
      <c r="U26" s="58"/>
      <c r="V26" s="58"/>
      <c r="W26" s="57"/>
      <c r="X26" s="54"/>
      <c r="Y26" s="54"/>
      <c r="Z26" s="54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</row>
    <row r="27" spans="1:211" ht="13.5" customHeight="1" x14ac:dyDescent="0.35">
      <c r="A27" s="53"/>
      <c r="B27" s="53"/>
      <c r="C27" s="49"/>
      <c r="D27" s="53"/>
      <c r="E27" s="4"/>
      <c r="F27" s="4"/>
      <c r="G27" s="4"/>
      <c r="H27" s="4"/>
      <c r="I27" s="4"/>
      <c r="J27" s="23"/>
      <c r="K27" s="4"/>
      <c r="L27" s="4"/>
      <c r="M27" s="4"/>
      <c r="N27" s="4"/>
      <c r="O27" s="23"/>
      <c r="P27" s="4"/>
      <c r="Q27" s="4"/>
      <c r="R27" s="4"/>
      <c r="S27" s="5"/>
      <c r="T27" s="4"/>
      <c r="U27" s="4"/>
      <c r="W27" s="4"/>
      <c r="X27" s="54"/>
      <c r="Y27" s="54"/>
      <c r="Z27" s="54"/>
      <c r="AA27" s="5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37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</row>
    <row r="28" spans="1:211" ht="21.75" customHeight="1" x14ac:dyDescent="0.4">
      <c r="A28" s="51"/>
      <c r="B28" s="53"/>
      <c r="C28" s="49"/>
      <c r="D28" s="49"/>
      <c r="E28" s="24"/>
      <c r="F28" s="24"/>
      <c r="G28" s="4"/>
      <c r="H28" s="4"/>
      <c r="I28" s="4"/>
      <c r="J28" s="49"/>
      <c r="K28" s="4"/>
      <c r="L28" s="52"/>
      <c r="M28" s="4"/>
      <c r="N28" s="4"/>
      <c r="O28" s="49"/>
      <c r="P28" s="4"/>
      <c r="Q28" s="4"/>
      <c r="R28" s="4"/>
      <c r="S28" s="5"/>
      <c r="T28" s="47"/>
      <c r="U28" s="47"/>
      <c r="V28" s="25"/>
      <c r="W28" s="38"/>
      <c r="X28" s="54"/>
      <c r="Y28" s="54"/>
      <c r="Z28" s="54"/>
      <c r="AA28" s="42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7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</row>
    <row r="29" spans="1:211" ht="21" x14ac:dyDescent="0.4">
      <c r="A29" s="51"/>
      <c r="B29" s="4"/>
      <c r="C29" s="50"/>
      <c r="D29" s="50"/>
      <c r="E29" s="24"/>
      <c r="F29" s="4"/>
      <c r="G29" s="4"/>
      <c r="H29" s="4"/>
      <c r="I29" s="4"/>
      <c r="J29" s="49"/>
      <c r="K29" s="4"/>
      <c r="L29" s="4"/>
      <c r="M29" s="4"/>
      <c r="N29" s="4"/>
      <c r="O29" s="49"/>
      <c r="P29" s="4"/>
      <c r="Q29" s="4"/>
      <c r="R29" s="48"/>
      <c r="S29" s="5"/>
      <c r="T29" s="47"/>
      <c r="U29" s="47"/>
      <c r="W29" s="38"/>
      <c r="X29" s="41"/>
      <c r="Y29" s="41"/>
      <c r="Z29" s="41"/>
      <c r="AA29" s="42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7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</row>
    <row r="30" spans="1:211" ht="6.75" customHeight="1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4"/>
      <c r="U30" s="4"/>
      <c r="W30" s="38"/>
      <c r="X30" s="41"/>
      <c r="Y30" s="41"/>
      <c r="Z30" s="41"/>
      <c r="AA30" s="42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7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</row>
    <row r="31" spans="1:211" ht="23.1" customHeight="1" x14ac:dyDescent="0.4">
      <c r="A31" s="135"/>
      <c r="B31" s="34"/>
      <c r="C31" s="31"/>
      <c r="D31" s="31"/>
      <c r="E31" s="45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W31" s="38"/>
      <c r="X31" s="41"/>
      <c r="Y31" s="41"/>
      <c r="Z31" s="41"/>
      <c r="AA31" s="41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7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</row>
    <row r="32" spans="1:211" s="25" customFormat="1" ht="21" x14ac:dyDescent="0.4">
      <c r="A32" s="135"/>
      <c r="B32" s="34"/>
      <c r="C32" s="33"/>
      <c r="D32" s="33"/>
      <c r="E32" s="32"/>
      <c r="F32" s="30"/>
      <c r="G32" s="30"/>
      <c r="H32" s="30"/>
      <c r="I32" s="31"/>
      <c r="J32" s="32"/>
      <c r="K32" s="32"/>
      <c r="L32" s="32"/>
      <c r="M32" s="32"/>
      <c r="N32" s="31"/>
      <c r="O32" s="32"/>
      <c r="P32" s="32"/>
      <c r="Q32" s="32"/>
      <c r="R32" s="32"/>
      <c r="S32" s="32"/>
      <c r="T32" s="29"/>
      <c r="U32" s="29"/>
      <c r="V32" s="1"/>
      <c r="W32" s="38"/>
      <c r="X32" s="41"/>
      <c r="Y32" s="41"/>
      <c r="Z32" s="41"/>
      <c r="AA32" s="42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37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</row>
    <row r="33" spans="1:211" ht="23.1" customHeight="1" x14ac:dyDescent="0.4">
      <c r="A33" s="135"/>
      <c r="B33" s="34"/>
      <c r="C33" s="31"/>
      <c r="D33" s="31"/>
      <c r="E33" s="45"/>
      <c r="F33" s="31"/>
      <c r="G33" s="31"/>
      <c r="H33" s="31"/>
      <c r="I33" s="31"/>
      <c r="J33" s="31"/>
      <c r="K33" s="45"/>
      <c r="L33" s="45"/>
      <c r="M33" s="45"/>
      <c r="N33" s="31"/>
      <c r="O33" s="31"/>
      <c r="P33" s="31"/>
      <c r="Q33" s="31"/>
      <c r="R33" s="31"/>
      <c r="S33" s="31"/>
      <c r="T33" s="31"/>
      <c r="U33" s="31"/>
      <c r="W33" s="38"/>
      <c r="X33" s="41"/>
      <c r="Y33" s="41"/>
      <c r="Z33" s="41"/>
      <c r="AA33" s="41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37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</row>
    <row r="34" spans="1:211" s="25" customFormat="1" ht="21" x14ac:dyDescent="0.4">
      <c r="A34" s="135"/>
      <c r="B34" s="34"/>
      <c r="C34" s="33"/>
      <c r="D34" s="33"/>
      <c r="E34" s="32"/>
      <c r="F34" s="30"/>
      <c r="G34" s="30"/>
      <c r="H34" s="30"/>
      <c r="I34" s="31"/>
      <c r="J34" s="32"/>
      <c r="K34" s="30"/>
      <c r="L34" s="30"/>
      <c r="M34" s="30"/>
      <c r="N34" s="31"/>
      <c r="O34" s="30"/>
      <c r="P34" s="30"/>
      <c r="Q34" s="30"/>
      <c r="R34" s="30"/>
      <c r="S34" s="30"/>
      <c r="T34" s="29"/>
      <c r="U34" s="29"/>
      <c r="V34" s="1"/>
      <c r="W34" s="38"/>
      <c r="X34" s="41"/>
      <c r="Y34" s="41"/>
      <c r="Z34" s="41"/>
      <c r="AA34" s="42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37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</row>
    <row r="35" spans="1:211" ht="23.1" customHeight="1" x14ac:dyDescent="0.4">
      <c r="A35" s="135"/>
      <c r="B35" s="34"/>
      <c r="C35" s="31"/>
      <c r="D35" s="31"/>
      <c r="E35" s="45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W35" s="44"/>
      <c r="X35" s="41"/>
      <c r="Y35" s="41"/>
      <c r="Z35" s="41"/>
      <c r="AA35" s="41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3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</row>
    <row r="36" spans="1:211" s="25" customFormat="1" ht="21" x14ac:dyDescent="0.4">
      <c r="A36" s="135"/>
      <c r="B36" s="34"/>
      <c r="C36" s="33"/>
      <c r="D36" s="33"/>
      <c r="E36" s="32"/>
      <c r="F36" s="30"/>
      <c r="G36" s="30"/>
      <c r="H36" s="30"/>
      <c r="I36" s="31"/>
      <c r="J36" s="32"/>
      <c r="K36" s="30"/>
      <c r="L36" s="30"/>
      <c r="M36" s="30"/>
      <c r="N36" s="31"/>
      <c r="O36" s="30"/>
      <c r="P36" s="30"/>
      <c r="Q36" s="30"/>
      <c r="R36" s="30"/>
      <c r="S36" s="30"/>
      <c r="T36" s="29"/>
      <c r="U36" s="29"/>
      <c r="W36" s="38"/>
      <c r="X36" s="41"/>
      <c r="Y36" s="41"/>
      <c r="Z36" s="41"/>
      <c r="AA36" s="42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37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</row>
    <row r="37" spans="1:211" ht="23.1" customHeight="1" x14ac:dyDescent="0.4">
      <c r="A37" s="135"/>
      <c r="B37" s="34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W37" s="38"/>
      <c r="X37" s="41"/>
      <c r="Y37" s="41"/>
      <c r="Z37" s="41"/>
      <c r="AA37" s="41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37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</row>
    <row r="38" spans="1:211" s="25" customFormat="1" ht="21" x14ac:dyDescent="0.4">
      <c r="A38" s="135"/>
      <c r="B38" s="34"/>
      <c r="C38" s="33"/>
      <c r="D38" s="33"/>
      <c r="E38" s="32"/>
      <c r="F38" s="30"/>
      <c r="G38" s="30"/>
      <c r="H38" s="30"/>
      <c r="I38" s="31"/>
      <c r="J38" s="32"/>
      <c r="K38" s="30"/>
      <c r="L38" s="30"/>
      <c r="M38" s="30"/>
      <c r="N38" s="31"/>
      <c r="O38" s="30"/>
      <c r="P38" s="30"/>
      <c r="Q38" s="30"/>
      <c r="R38" s="30"/>
      <c r="S38" s="30"/>
      <c r="T38" s="29"/>
      <c r="U38" s="29"/>
      <c r="W38" s="38"/>
      <c r="X38" s="41"/>
      <c r="Y38" s="41"/>
      <c r="Z38" s="41"/>
      <c r="AA38" s="42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37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</row>
    <row r="39" spans="1:211" ht="23.1" customHeight="1" x14ac:dyDescent="0.4">
      <c r="A39" s="135"/>
      <c r="B39" s="34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W39" s="38"/>
      <c r="X39" s="41"/>
      <c r="Y39" s="41"/>
      <c r="Z39" s="41"/>
      <c r="AA39" s="41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37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</row>
    <row r="40" spans="1:211" s="25" customFormat="1" ht="21" x14ac:dyDescent="0.4">
      <c r="A40" s="135"/>
      <c r="B40" s="34"/>
      <c r="C40" s="33"/>
      <c r="D40" s="33"/>
      <c r="E40" s="32"/>
      <c r="F40" s="30"/>
      <c r="G40" s="30"/>
      <c r="H40" s="30"/>
      <c r="I40" s="31"/>
      <c r="J40" s="32"/>
      <c r="K40" s="30"/>
      <c r="L40" s="30"/>
      <c r="M40" s="30"/>
      <c r="N40" s="31"/>
      <c r="O40" s="30"/>
      <c r="P40" s="30"/>
      <c r="Q40" s="30"/>
      <c r="R40" s="30"/>
      <c r="S40" s="30"/>
      <c r="T40" s="29"/>
      <c r="U40" s="29"/>
      <c r="W40" s="38"/>
      <c r="X40" s="41"/>
      <c r="Y40" s="41"/>
      <c r="Z40" s="41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37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</row>
    <row r="41" spans="1:211" ht="23.1" customHeight="1" x14ac:dyDescent="0.25">
      <c r="A41" s="135"/>
      <c r="B41" s="34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</row>
    <row r="42" spans="1:211" s="25" customFormat="1" ht="21" x14ac:dyDescent="0.25">
      <c r="A42" s="135"/>
      <c r="B42" s="34"/>
      <c r="C42" s="33"/>
      <c r="D42" s="35"/>
      <c r="E42" s="32"/>
      <c r="F42" s="30"/>
      <c r="G42" s="30"/>
      <c r="H42" s="30"/>
      <c r="I42" s="31"/>
      <c r="J42" s="32"/>
      <c r="K42" s="30"/>
      <c r="L42" s="30"/>
      <c r="M42" s="30"/>
      <c r="N42" s="31"/>
      <c r="O42" s="30"/>
      <c r="P42" s="30"/>
      <c r="Q42" s="30"/>
      <c r="R42" s="30"/>
      <c r="S42" s="30"/>
      <c r="T42" s="29"/>
      <c r="U42" s="29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</row>
    <row r="43" spans="1:211" ht="23.1" customHeight="1" x14ac:dyDescent="0.25">
      <c r="A43" s="135"/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W43" s="28"/>
      <c r="X43" s="28"/>
      <c r="Y43" s="28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</row>
    <row r="44" spans="1:211" s="25" customFormat="1" ht="20.25" customHeight="1" x14ac:dyDescent="0.25">
      <c r="A44" s="135"/>
      <c r="B44" s="34"/>
      <c r="C44" s="33"/>
      <c r="D44" s="33"/>
      <c r="E44" s="32"/>
      <c r="F44" s="30"/>
      <c r="G44" s="30"/>
      <c r="H44" s="30"/>
      <c r="I44" s="31"/>
      <c r="J44" s="32"/>
      <c r="K44" s="30"/>
      <c r="L44" s="30"/>
      <c r="M44" s="30"/>
      <c r="N44" s="31"/>
      <c r="O44" s="30"/>
      <c r="P44" s="30"/>
      <c r="Q44" s="30"/>
      <c r="R44" s="30"/>
      <c r="S44" s="30"/>
      <c r="T44" s="29"/>
      <c r="U44" s="29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</row>
    <row r="45" spans="1:211" ht="2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"/>
      <c r="U45" s="4"/>
      <c r="W45" s="20"/>
      <c r="X45" s="19"/>
      <c r="Y45" s="20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</row>
    <row r="46" spans="1:211" ht="21" x14ac:dyDescent="0.4">
      <c r="A46" s="4"/>
      <c r="B46" s="4"/>
      <c r="C46" s="4"/>
      <c r="D46" s="4"/>
      <c r="E46" s="24"/>
      <c r="F46" s="2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4"/>
      <c r="W46" s="19"/>
      <c r="X46" s="19"/>
      <c r="Y46" s="19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</row>
    <row r="47" spans="1:211" ht="21" x14ac:dyDescent="0.4">
      <c r="A47" s="4"/>
      <c r="B47" s="4"/>
      <c r="C47" s="4"/>
      <c r="D47" s="4"/>
      <c r="E47" s="2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4"/>
      <c r="W47" s="20"/>
      <c r="X47" s="19"/>
      <c r="Y47" s="20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</row>
    <row r="48" spans="1:211" ht="21" x14ac:dyDescent="0.4">
      <c r="A48" s="4"/>
      <c r="B48" s="4"/>
      <c r="C48" s="4"/>
      <c r="D48" s="4"/>
      <c r="E48" s="2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4"/>
      <c r="W48" s="19"/>
      <c r="X48" s="19"/>
      <c r="Y48" s="20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</row>
    <row r="49" spans="1:168" ht="2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4"/>
      <c r="W49" s="20"/>
      <c r="X49" s="19"/>
      <c r="Y49" s="20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</row>
    <row r="50" spans="1:168" ht="2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4"/>
      <c r="U50" s="4"/>
      <c r="W50" s="19"/>
      <c r="X50" s="19"/>
      <c r="Y50" s="19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</row>
    <row r="51" spans="1:168" ht="21" x14ac:dyDescent="0.4">
      <c r="A51" s="4"/>
      <c r="B51" s="4"/>
      <c r="C51" s="22"/>
      <c r="D51" s="22"/>
      <c r="E51" s="22"/>
      <c r="F51" s="22"/>
      <c r="G51" s="22"/>
      <c r="H51" s="22"/>
      <c r="I51" s="22"/>
      <c r="J51" s="22"/>
      <c r="K51" s="4"/>
      <c r="L51" s="4"/>
      <c r="M51" s="4"/>
      <c r="N51" s="4"/>
      <c r="O51" s="4"/>
      <c r="P51" s="4"/>
      <c r="Q51" s="4"/>
      <c r="R51" s="4"/>
      <c r="S51" s="5"/>
      <c r="T51" s="4"/>
      <c r="U51" s="4"/>
      <c r="W51" s="20"/>
      <c r="X51" s="19"/>
      <c r="Y51" s="20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</row>
    <row r="52" spans="1:168" ht="2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4"/>
      <c r="U52" s="4"/>
      <c r="W52" s="4"/>
      <c r="X52" s="4"/>
      <c r="Y52" s="19"/>
      <c r="Z52" s="19"/>
      <c r="AA52" s="1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</row>
    <row r="53" spans="1:168" ht="2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4"/>
      <c r="U53" s="4"/>
      <c r="W53" s="4"/>
      <c r="X53" s="4"/>
      <c r="Y53" s="20"/>
      <c r="Z53" s="21"/>
      <c r="AA53" s="20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</row>
    <row r="54" spans="1:168" ht="2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4"/>
      <c r="U54" s="4"/>
      <c r="W54" s="4"/>
      <c r="X54" s="4"/>
      <c r="Y54" s="19"/>
      <c r="Z54" s="19"/>
      <c r="AA54" s="19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</row>
    <row r="55" spans="1:16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</row>
    <row r="56" spans="1:168" ht="2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4"/>
      <c r="U56" s="4"/>
      <c r="V56" s="4"/>
      <c r="W56" s="4"/>
      <c r="X56" s="4"/>
      <c r="Y56" s="12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</row>
    <row r="57" spans="1:168" ht="21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4"/>
      <c r="U57" s="4"/>
      <c r="V57" s="4"/>
      <c r="W57" s="4"/>
      <c r="X57" s="4"/>
      <c r="Y57" s="11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</row>
    <row r="58" spans="1:168" ht="21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"/>
      <c r="U58" s="4"/>
      <c r="V58" s="4"/>
      <c r="W58" s="4"/>
      <c r="X58" s="4"/>
      <c r="Y58" s="11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18"/>
      <c r="EP58" s="18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</row>
    <row r="59" spans="1:168" ht="21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"/>
      <c r="U59" s="4"/>
      <c r="V59" s="4"/>
      <c r="W59" s="4"/>
      <c r="X59" s="4"/>
      <c r="Y59" s="11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18"/>
      <c r="EP59" s="18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</row>
    <row r="60" spans="1:168" ht="21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"/>
      <c r="U60" s="4"/>
      <c r="V60" s="4"/>
      <c r="W60" s="4"/>
      <c r="X60" s="4"/>
      <c r="Y60" s="11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15"/>
      <c r="EP60" s="15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</row>
    <row r="61" spans="1:168" ht="21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11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15"/>
      <c r="EP61" s="15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</row>
    <row r="62" spans="1:168" ht="18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4"/>
      <c r="U62" s="4"/>
      <c r="V62" s="4"/>
      <c r="W62" s="4"/>
      <c r="X62" s="4"/>
      <c r="Y62" s="134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18"/>
      <c r="EP62" s="18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</row>
    <row r="63" spans="1:168" ht="18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134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18"/>
      <c r="EP63" s="18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</row>
    <row r="64" spans="1:168" ht="18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134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15"/>
      <c r="EP64" s="15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</row>
    <row r="65" spans="1:168" ht="18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134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15"/>
      <c r="EP65" s="15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</row>
    <row r="66" spans="1:168" ht="18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134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18"/>
      <c r="EP66" s="18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</row>
    <row r="67" spans="1:168" ht="18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134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18"/>
      <c r="EP67" s="18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</row>
    <row r="68" spans="1:168" ht="18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4"/>
      <c r="U68" s="4"/>
      <c r="V68" s="4"/>
      <c r="W68" s="4"/>
      <c r="X68" s="4"/>
      <c r="Y68" s="134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15"/>
      <c r="EP68" s="15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</row>
    <row r="69" spans="1:168" ht="18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134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15"/>
      <c r="EP69" s="15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</row>
    <row r="70" spans="1:168" ht="18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4"/>
      <c r="U70" s="4"/>
      <c r="V70" s="4"/>
      <c r="W70" s="4"/>
      <c r="X70" s="4"/>
      <c r="Y70" s="134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18"/>
      <c r="EP70" s="18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</row>
    <row r="71" spans="1:168" ht="18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4"/>
      <c r="U71" s="4"/>
      <c r="V71" s="4"/>
      <c r="W71" s="4"/>
      <c r="X71" s="4"/>
      <c r="Y71" s="134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18"/>
      <c r="EP71" s="18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</row>
    <row r="72" spans="1:168" ht="18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"/>
      <c r="U72" s="4"/>
      <c r="V72" s="4"/>
      <c r="W72" s="4"/>
      <c r="X72" s="4"/>
      <c r="Y72" s="134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15"/>
      <c r="EP72" s="15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</row>
    <row r="73" spans="1:168" ht="18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"/>
      <c r="U73" s="4"/>
      <c r="V73" s="4"/>
      <c r="W73" s="4"/>
      <c r="X73" s="4"/>
      <c r="Y73" s="134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15"/>
      <c r="EP73" s="15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</row>
    <row r="74" spans="1:168" ht="18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134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18"/>
      <c r="EP74" s="18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</row>
    <row r="75" spans="1:168" ht="18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4"/>
      <c r="U75" s="4"/>
      <c r="V75" s="4"/>
      <c r="W75" s="4"/>
      <c r="X75" s="4"/>
      <c r="Y75" s="134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18"/>
      <c r="EP75" s="18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</row>
    <row r="76" spans="1:168" ht="18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134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15"/>
      <c r="EP76" s="15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</row>
    <row r="77" spans="1:168" ht="18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134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15"/>
      <c r="EP77" s="15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</row>
    <row r="78" spans="1:168" ht="18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134"/>
      <c r="Z78" s="16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18"/>
      <c r="EP78" s="18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</row>
    <row r="79" spans="1:168" ht="18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4"/>
      <c r="U79" s="4"/>
      <c r="V79" s="4"/>
      <c r="W79" s="4"/>
      <c r="X79" s="4"/>
      <c r="Y79" s="134"/>
      <c r="Z79" s="16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18"/>
      <c r="EP79" s="18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</row>
    <row r="80" spans="1:168" ht="18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4"/>
      <c r="U80" s="4"/>
      <c r="V80" s="4"/>
      <c r="W80" s="4"/>
      <c r="X80" s="4"/>
      <c r="Y80" s="134"/>
      <c r="Z80" s="16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15"/>
      <c r="EP80" s="15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</row>
    <row r="81" spans="1:168" ht="18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4"/>
      <c r="U81" s="4"/>
      <c r="V81" s="4"/>
      <c r="W81" s="4"/>
      <c r="X81" s="4"/>
      <c r="Y81" s="134"/>
      <c r="Z81" s="16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15"/>
      <c r="EP81" s="15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</row>
    <row r="82" spans="1:168" ht="18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4"/>
      <c r="U82" s="4"/>
      <c r="V82" s="4"/>
      <c r="W82" s="4"/>
      <c r="X82" s="4"/>
      <c r="Y82" s="13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</row>
    <row r="83" spans="1:168" ht="2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4"/>
      <c r="U83" s="4"/>
      <c r="V83" s="4"/>
      <c r="W83" s="4"/>
      <c r="X83" s="4"/>
      <c r="Y83" s="12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</row>
    <row r="84" spans="1:168" ht="18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4"/>
      <c r="U84" s="4"/>
      <c r="V84" s="4"/>
      <c r="W84" s="4"/>
      <c r="X84" s="4"/>
      <c r="Y84" s="11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</row>
    <row r="85" spans="1:168" ht="18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11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7"/>
      <c r="EP85" s="7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</row>
    <row r="86" spans="1:168" ht="18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11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7"/>
      <c r="EP86" s="7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</row>
    <row r="87" spans="1:168" ht="18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11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7"/>
      <c r="EP87" s="7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</row>
    <row r="88" spans="1:168" ht="18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11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7"/>
      <c r="EP88" s="7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</row>
    <row r="89" spans="1:168" ht="18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134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7"/>
      <c r="EP89" s="7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</row>
    <row r="90" spans="1:168" ht="18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134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7"/>
      <c r="EP90" s="7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</row>
    <row r="91" spans="1:168" ht="18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134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7"/>
      <c r="EP91" s="7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</row>
    <row r="92" spans="1:168" ht="18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134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7"/>
      <c r="EP92" s="7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</row>
    <row r="93" spans="1:168" ht="18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4"/>
      <c r="U93" s="4"/>
      <c r="V93" s="4"/>
      <c r="W93" s="4"/>
      <c r="X93" s="4"/>
      <c r="Y93" s="134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7"/>
      <c r="EP93" s="7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</row>
    <row r="94" spans="1:168" ht="18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134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7"/>
      <c r="EP94" s="7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</row>
    <row r="95" spans="1:168" ht="18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134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7"/>
      <c r="EP95" s="7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</row>
    <row r="96" spans="1:168" ht="18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134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7"/>
      <c r="EP96" s="7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</row>
    <row r="97" spans="1:168" ht="18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134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7"/>
      <c r="EP97" s="7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</row>
    <row r="98" spans="1:168" ht="18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4"/>
      <c r="U98" s="4"/>
      <c r="V98" s="4"/>
      <c r="W98" s="4"/>
      <c r="X98" s="4"/>
      <c r="Y98" s="134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7"/>
      <c r="EP98" s="7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</row>
    <row r="99" spans="1:168" ht="18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134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7"/>
      <c r="EP99" s="7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</row>
    <row r="100" spans="1:168" ht="18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134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7"/>
      <c r="EP100" s="7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</row>
    <row r="101" spans="1:168" ht="18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4"/>
      <c r="U101" s="4"/>
      <c r="V101" s="4"/>
      <c r="W101" s="4"/>
      <c r="X101" s="4"/>
      <c r="Y101" s="134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7"/>
      <c r="EP101" s="7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</row>
    <row r="102" spans="1:168" ht="18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4"/>
      <c r="U102" s="4"/>
      <c r="V102" s="4"/>
      <c r="W102" s="4"/>
      <c r="X102" s="4"/>
      <c r="Y102" s="134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7"/>
      <c r="EP102" s="7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</row>
    <row r="103" spans="1:168" ht="18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4"/>
      <c r="U103" s="4"/>
      <c r="V103" s="4"/>
      <c r="W103" s="4"/>
      <c r="X103" s="4"/>
      <c r="Y103" s="134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7"/>
      <c r="EP103" s="7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</row>
    <row r="104" spans="1:168" ht="18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4"/>
      <c r="U104" s="4"/>
      <c r="V104" s="4"/>
      <c r="W104" s="4"/>
      <c r="X104" s="4"/>
      <c r="Y104" s="134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7"/>
      <c r="EP104" s="7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</row>
    <row r="105" spans="1:168" ht="18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134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7"/>
      <c r="EP105" s="7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</row>
    <row r="106" spans="1:168" ht="18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4"/>
      <c r="U106" s="4"/>
      <c r="V106" s="4"/>
      <c r="W106" s="4"/>
      <c r="X106" s="4"/>
      <c r="Y106" s="134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7"/>
      <c r="EP106" s="7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</row>
    <row r="107" spans="1:168" ht="18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4"/>
      <c r="Y107" s="134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7"/>
      <c r="EP107" s="7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</row>
    <row r="108" spans="1:168" ht="18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134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7"/>
      <c r="EP108" s="7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</row>
    <row r="109" spans="1:16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</row>
    <row r="110" spans="1:16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</row>
    <row r="111" spans="1:16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</row>
    <row r="112" spans="1:16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</row>
    <row r="113" spans="1:11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</row>
    <row r="114" spans="1:11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</row>
    <row r="115" spans="1:11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</row>
    <row r="116" spans="1:11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</row>
    <row r="117" spans="1:11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</row>
    <row r="118" spans="1:11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</row>
    <row r="119" spans="1:11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</row>
    <row r="120" spans="1:11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</row>
    <row r="121" spans="1:11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</row>
    <row r="122" spans="1:11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</row>
    <row r="123" spans="1:11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</row>
    <row r="124" spans="1:11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</row>
    <row r="125" spans="1:11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</row>
    <row r="126" spans="1:11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</row>
    <row r="127" spans="1:11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</row>
    <row r="128" spans="1:11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</row>
    <row r="129" spans="1:11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</row>
    <row r="130" spans="1:11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</row>
    <row r="131" spans="1:11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</row>
    <row r="132" spans="1:11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</row>
    <row r="133" spans="1:11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</row>
    <row r="134" spans="1:11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</row>
    <row r="135" spans="1:11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</row>
    <row r="136" spans="1:11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</row>
    <row r="137" spans="1:11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</row>
    <row r="138" spans="1:11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</row>
    <row r="139" spans="1:11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</row>
    <row r="140" spans="1:11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</row>
    <row r="141" spans="1:11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</row>
    <row r="142" spans="1:11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</row>
    <row r="143" spans="1:11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</row>
    <row r="144" spans="1:11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</row>
    <row r="145" spans="1:11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</row>
    <row r="146" spans="1:11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</row>
    <row r="147" spans="1:11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</row>
    <row r="148" spans="1:11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</row>
    <row r="149" spans="1:11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</row>
    <row r="150" spans="1:11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</row>
    <row r="151" spans="1:11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</row>
    <row r="152" spans="1:11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</row>
    <row r="153" spans="1:11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</row>
    <row r="154" spans="1:11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</row>
    <row r="155" spans="1:11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</row>
    <row r="156" spans="1:11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</row>
    <row r="157" spans="1:11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</row>
    <row r="158" spans="1:11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</row>
    <row r="159" spans="1:11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</row>
    <row r="160" spans="1:11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</row>
    <row r="161" spans="1:11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</row>
    <row r="162" spans="1:11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</row>
    <row r="163" spans="1:11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</row>
    <row r="164" spans="1:11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</row>
    <row r="165" spans="1:11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</row>
    <row r="166" spans="1:11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</row>
    <row r="167" spans="1:11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</row>
    <row r="168" spans="1:11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</row>
    <row r="169" spans="1:11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</row>
    <row r="170" spans="1:11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</row>
    <row r="171" spans="1:11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</row>
    <row r="172" spans="1:11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</row>
    <row r="173" spans="1:11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</row>
    <row r="174" spans="1:11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</row>
    <row r="175" spans="1:11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</row>
    <row r="176" spans="1:11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</row>
    <row r="177" spans="1:11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</row>
    <row r="178" spans="1:11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</row>
    <row r="179" spans="1:11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</row>
    <row r="180" spans="1:11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</row>
    <row r="181" spans="1:11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</row>
    <row r="182" spans="1:11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</row>
    <row r="183" spans="1:11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</row>
    <row r="184" spans="1:11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</row>
    <row r="185" spans="1:11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</row>
    <row r="186" spans="1:11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</row>
    <row r="187" spans="1:11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</row>
    <row r="188" spans="1:11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</row>
    <row r="189" spans="1:11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</row>
    <row r="190" spans="1:11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</row>
    <row r="191" spans="1:11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</row>
    <row r="192" spans="1:11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</row>
    <row r="193" spans="1:11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</row>
    <row r="194" spans="1:11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</row>
    <row r="195" spans="1:11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</row>
    <row r="196" spans="1:11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</row>
    <row r="197" spans="1:11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</row>
    <row r="198" spans="1:11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</row>
    <row r="199" spans="1:11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</row>
    <row r="200" spans="1:11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</row>
    <row r="201" spans="1:11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</row>
    <row r="202" spans="1:11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</row>
    <row r="203" spans="1:11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</row>
    <row r="204" spans="1:11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</row>
    <row r="205" spans="1:11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</row>
    <row r="206" spans="1:11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</row>
    <row r="207" spans="1:11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</row>
    <row r="208" spans="1:11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</row>
    <row r="209" spans="1:11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</row>
    <row r="210" spans="1:11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</row>
    <row r="211" spans="1:11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</row>
    <row r="212" spans="1:11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</row>
    <row r="213" spans="1:11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</row>
    <row r="214" spans="1:11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</row>
    <row r="215" spans="1:11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</row>
    <row r="216" spans="1:11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</row>
    <row r="217" spans="1:11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</row>
    <row r="218" spans="1:11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</row>
    <row r="219" spans="1:11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</row>
    <row r="220" spans="1:11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</row>
    <row r="221" spans="1:11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</row>
    <row r="222" spans="1:11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</row>
    <row r="223" spans="1:11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</row>
    <row r="224" spans="1:11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</row>
    <row r="225" spans="1:11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</row>
    <row r="226" spans="1:11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</row>
    <row r="227" spans="1:11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</row>
    <row r="228" spans="1:11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5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</row>
    <row r="229" spans="1:11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</row>
    <row r="230" spans="1:11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</row>
    <row r="231" spans="1:11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</row>
    <row r="232" spans="1:11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</row>
    <row r="233" spans="1:11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5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</row>
    <row r="234" spans="1:11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</row>
    <row r="235" spans="1:11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</row>
    <row r="236" spans="1:11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</row>
    <row r="237" spans="1:11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</row>
    <row r="238" spans="1:11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</row>
    <row r="239" spans="1:11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</row>
    <row r="240" spans="1:11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5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</row>
    <row r="241" spans="1:6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</row>
    <row r="242" spans="1:6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</row>
    <row r="243" spans="1:6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</row>
    <row r="244" spans="1:6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</row>
    <row r="245" spans="1:6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</row>
    <row r="246" spans="1:6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</row>
    <row r="247" spans="1:6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</row>
    <row r="248" spans="1:6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5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</row>
    <row r="249" spans="1:6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5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</row>
    <row r="250" spans="1:6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5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</row>
    <row r="251" spans="1:6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</row>
    <row r="252" spans="1:6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</row>
    <row r="253" spans="1:6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</row>
    <row r="254" spans="1:6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</row>
    <row r="255" spans="1:6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5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</row>
    <row r="256" spans="1:6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</row>
    <row r="257" spans="1:6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5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  <row r="258" spans="1:6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</row>
    <row r="259" spans="1:6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</row>
    <row r="260" spans="1:6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</row>
    <row r="261" spans="1:6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5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</row>
    <row r="262" spans="1:6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5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</row>
    <row r="263" spans="1:6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</row>
    <row r="264" spans="1:6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5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</row>
    <row r="265" spans="1:6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5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</row>
    <row r="266" spans="1:6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</row>
    <row r="267" spans="1:6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</row>
    <row r="268" spans="1:6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</row>
    <row r="269" spans="1:6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</row>
    <row r="270" spans="1:6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</row>
    <row r="271" spans="1:6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</row>
    <row r="272" spans="1:6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5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</row>
    <row r="273" spans="1:6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5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</row>
    <row r="274" spans="1:6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5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</row>
    <row r="275" spans="1:6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</row>
    <row r="276" spans="1:6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</row>
    <row r="277" spans="1:6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</row>
    <row r="278" spans="1:6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5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</row>
    <row r="279" spans="1:6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5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</row>
    <row r="280" spans="1:6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</row>
    <row r="281" spans="1:6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</row>
    <row r="282" spans="1:6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</row>
    <row r="283" spans="1:6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</row>
    <row r="284" spans="1:6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5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</row>
    <row r="285" spans="1:6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</row>
    <row r="286" spans="1:6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5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</row>
    <row r="287" spans="1:6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5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</row>
    <row r="288" spans="1:62" x14ac:dyDescent="0.25">
      <c r="S288" s="5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</row>
    <row r="289" spans="19:62" x14ac:dyDescent="0.25">
      <c r="S289" s="5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</row>
    <row r="290" spans="19:62" x14ac:dyDescent="0.25">
      <c r="S290" s="5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</row>
    <row r="291" spans="19:62" x14ac:dyDescent="0.25">
      <c r="S291" s="5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</row>
    <row r="292" spans="19:62" x14ac:dyDescent="0.25">
      <c r="S292" s="5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</row>
    <row r="293" spans="19:62" x14ac:dyDescent="0.25">
      <c r="S293" s="5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</row>
    <row r="294" spans="19:62" x14ac:dyDescent="0.25">
      <c r="S294" s="5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</row>
    <row r="295" spans="19:62" x14ac:dyDescent="0.25">
      <c r="S295" s="5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</row>
    <row r="296" spans="19:62" x14ac:dyDescent="0.25">
      <c r="S296" s="5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</row>
    <row r="297" spans="19:62" x14ac:dyDescent="0.25">
      <c r="S297" s="5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</row>
    <row r="298" spans="19:62" x14ac:dyDescent="0.25">
      <c r="S298" s="5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</row>
    <row r="299" spans="19:62" x14ac:dyDescent="0.25">
      <c r="S299" s="5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</row>
    <row r="300" spans="19:62" x14ac:dyDescent="0.25">
      <c r="S300" s="5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</row>
    <row r="301" spans="19:62" x14ac:dyDescent="0.25">
      <c r="S301" s="5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</row>
    <row r="302" spans="19:62" x14ac:dyDescent="0.25">
      <c r="S302" s="5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</row>
    <row r="303" spans="19:62" x14ac:dyDescent="0.25">
      <c r="S303" s="5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</row>
    <row r="304" spans="19:62" x14ac:dyDescent="0.25">
      <c r="S304" s="5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</row>
    <row r="305" spans="19:62" x14ac:dyDescent="0.25">
      <c r="S305" s="5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</row>
    <row r="306" spans="19:62" x14ac:dyDescent="0.25">
      <c r="S306" s="5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</row>
    <row r="307" spans="19:62" x14ac:dyDescent="0.25">
      <c r="S307" s="5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</row>
    <row r="308" spans="19:62" x14ac:dyDescent="0.25">
      <c r="S308" s="5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</row>
    <row r="309" spans="19:62" x14ac:dyDescent="0.25">
      <c r="S309" s="5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</row>
    <row r="310" spans="19:62" x14ac:dyDescent="0.25">
      <c r="S310" s="5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</row>
    <row r="311" spans="19:62" x14ac:dyDescent="0.25">
      <c r="S311" s="5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</row>
    <row r="312" spans="19:62" x14ac:dyDescent="0.25">
      <c r="S312" s="5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</row>
    <row r="313" spans="19:62" x14ac:dyDescent="0.25">
      <c r="S313" s="5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</row>
    <row r="314" spans="19:62" x14ac:dyDescent="0.25">
      <c r="S314" s="5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</row>
    <row r="315" spans="19:62" x14ac:dyDescent="0.25">
      <c r="S315" s="5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</row>
    <row r="316" spans="19:62" x14ac:dyDescent="0.25">
      <c r="S316" s="5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</row>
    <row r="317" spans="19:62" x14ac:dyDescent="0.25">
      <c r="S317" s="5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</row>
    <row r="318" spans="19:62" x14ac:dyDescent="0.25">
      <c r="S318" s="5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</row>
    <row r="319" spans="19:62" x14ac:dyDescent="0.25">
      <c r="S319" s="5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</row>
    <row r="320" spans="19:62" x14ac:dyDescent="0.25">
      <c r="S320" s="5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</row>
    <row r="321" spans="19:62" x14ac:dyDescent="0.25">
      <c r="S321" s="5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</row>
    <row r="322" spans="19:62" x14ac:dyDescent="0.25">
      <c r="S322" s="5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</row>
    <row r="323" spans="19:62" x14ac:dyDescent="0.25">
      <c r="S323" s="5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</row>
    <row r="324" spans="19:62" x14ac:dyDescent="0.25">
      <c r="S324" s="5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</row>
    <row r="325" spans="19:62" x14ac:dyDescent="0.25">
      <c r="S325" s="5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</row>
    <row r="326" spans="19:62" x14ac:dyDescent="0.25">
      <c r="S326" s="5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</row>
    <row r="327" spans="19:62" x14ac:dyDescent="0.25">
      <c r="S327" s="5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</row>
    <row r="328" spans="19:62" x14ac:dyDescent="0.25">
      <c r="S328" s="5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</row>
    <row r="329" spans="19:62" x14ac:dyDescent="0.25">
      <c r="S329" s="5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</row>
    <row r="330" spans="19:62" x14ac:dyDescent="0.25">
      <c r="S330" s="5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</row>
    <row r="331" spans="19:62" x14ac:dyDescent="0.25">
      <c r="S331" s="5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</row>
    <row r="332" spans="19:62" x14ac:dyDescent="0.25">
      <c r="S332" s="5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</row>
    <row r="333" spans="19:62" x14ac:dyDescent="0.25">
      <c r="S333" s="5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</row>
    <row r="334" spans="19:62" x14ac:dyDescent="0.25">
      <c r="S334" s="5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</row>
    <row r="335" spans="19:62" x14ac:dyDescent="0.25">
      <c r="S335" s="5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</row>
    <row r="336" spans="19:62" x14ac:dyDescent="0.25">
      <c r="S336" s="5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</row>
    <row r="337" spans="19:62" x14ac:dyDescent="0.25">
      <c r="S337" s="5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</row>
    <row r="338" spans="19:62" x14ac:dyDescent="0.25">
      <c r="S338" s="5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</row>
    <row r="339" spans="19:62" x14ac:dyDescent="0.25">
      <c r="S339" s="5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</row>
    <row r="340" spans="19:62" x14ac:dyDescent="0.25">
      <c r="S340" s="5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</row>
    <row r="341" spans="19:62" x14ac:dyDescent="0.25">
      <c r="S341" s="5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</row>
    <row r="342" spans="19:62" x14ac:dyDescent="0.25">
      <c r="S342" s="5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</row>
    <row r="343" spans="19:62" x14ac:dyDescent="0.25">
      <c r="S343" s="5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</row>
    <row r="344" spans="19:62" x14ac:dyDescent="0.25">
      <c r="S344" s="5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</row>
    <row r="345" spans="19:62" x14ac:dyDescent="0.25">
      <c r="S345" s="5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</row>
    <row r="346" spans="19:62" x14ac:dyDescent="0.25">
      <c r="S346" s="5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</row>
    <row r="347" spans="19:62" x14ac:dyDescent="0.25">
      <c r="S347" s="5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</row>
    <row r="348" spans="19:62" x14ac:dyDescent="0.25">
      <c r="S348" s="5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</row>
    <row r="349" spans="19:62" x14ac:dyDescent="0.25">
      <c r="S349" s="5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</row>
    <row r="350" spans="19:62" x14ac:dyDescent="0.25">
      <c r="S350" s="5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</row>
    <row r="351" spans="19:62" x14ac:dyDescent="0.25">
      <c r="S351" s="5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</row>
    <row r="352" spans="19:62" x14ac:dyDescent="0.25">
      <c r="S352" s="5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</row>
    <row r="353" spans="19:62" x14ac:dyDescent="0.25">
      <c r="S353" s="5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</row>
    <row r="354" spans="19:62" x14ac:dyDescent="0.25">
      <c r="S354" s="5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</row>
    <row r="355" spans="19:62" x14ac:dyDescent="0.25">
      <c r="S355" s="5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</row>
    <row r="356" spans="19:62" x14ac:dyDescent="0.25">
      <c r="S356" s="5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</row>
    <row r="357" spans="19:62" x14ac:dyDescent="0.25">
      <c r="S357" s="5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</row>
    <row r="358" spans="19:62" x14ac:dyDescent="0.25">
      <c r="S358" s="5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</row>
    <row r="359" spans="19:62" x14ac:dyDescent="0.25">
      <c r="S359" s="5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</row>
    <row r="360" spans="19:62" x14ac:dyDescent="0.25">
      <c r="S360" s="5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</row>
    <row r="361" spans="19:62" x14ac:dyDescent="0.25">
      <c r="S361" s="5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</row>
    <row r="362" spans="19:62" x14ac:dyDescent="0.25">
      <c r="S362" s="5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</row>
    <row r="363" spans="19:62" x14ac:dyDescent="0.25">
      <c r="S363" s="5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</row>
    <row r="364" spans="19:62" x14ac:dyDescent="0.25">
      <c r="S364" s="5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</row>
    <row r="365" spans="19:62" x14ac:dyDescent="0.25">
      <c r="S365" s="5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</row>
    <row r="366" spans="19:62" x14ac:dyDescent="0.25">
      <c r="S366" s="5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</row>
    <row r="367" spans="19:62" x14ac:dyDescent="0.25">
      <c r="S367" s="5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</row>
    <row r="368" spans="19:62" x14ac:dyDescent="0.25">
      <c r="S368" s="5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</row>
    <row r="369" spans="19:62" x14ac:dyDescent="0.25">
      <c r="S369" s="5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</row>
    <row r="370" spans="19:62" x14ac:dyDescent="0.25">
      <c r="S370" s="5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</row>
    <row r="371" spans="19:62" x14ac:dyDescent="0.25">
      <c r="S371" s="5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</row>
    <row r="372" spans="19:62" x14ac:dyDescent="0.25">
      <c r="S372" s="5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</row>
    <row r="373" spans="19:62" x14ac:dyDescent="0.25">
      <c r="S373" s="5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</row>
    <row r="374" spans="19:62" x14ac:dyDescent="0.25">
      <c r="S374" s="5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</row>
    <row r="375" spans="19:62" x14ac:dyDescent="0.25">
      <c r="S375" s="5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</row>
    <row r="376" spans="19:62" x14ac:dyDescent="0.25">
      <c r="S376" s="5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</row>
    <row r="377" spans="19:62" x14ac:dyDescent="0.25">
      <c r="S377" s="5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</row>
    <row r="378" spans="19:62" x14ac:dyDescent="0.25">
      <c r="S378" s="5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</row>
    <row r="379" spans="19:62" x14ac:dyDescent="0.25">
      <c r="S379" s="5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</row>
    <row r="380" spans="19:62" x14ac:dyDescent="0.25">
      <c r="S380" s="5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</row>
    <row r="381" spans="19:62" x14ac:dyDescent="0.25">
      <c r="S381" s="5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</row>
    <row r="382" spans="19:62" x14ac:dyDescent="0.25">
      <c r="S382" s="5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</row>
    <row r="383" spans="19:62" x14ac:dyDescent="0.25">
      <c r="S383" s="5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</row>
    <row r="384" spans="19:62" x14ac:dyDescent="0.25">
      <c r="S384" s="5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</row>
    <row r="385" spans="19:62" x14ac:dyDescent="0.25">
      <c r="S385" s="5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</row>
    <row r="386" spans="19:62" x14ac:dyDescent="0.25">
      <c r="S386" s="5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</row>
    <row r="387" spans="19:62" x14ac:dyDescent="0.25">
      <c r="S387" s="5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</row>
    <row r="388" spans="19:62" x14ac:dyDescent="0.25">
      <c r="S388" s="5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</row>
    <row r="389" spans="19:62" x14ac:dyDescent="0.25">
      <c r="S389" s="5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</row>
    <row r="390" spans="19:62" x14ac:dyDescent="0.25">
      <c r="S390" s="5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</row>
    <row r="391" spans="19:62" x14ac:dyDescent="0.25">
      <c r="S391" s="5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</row>
    <row r="392" spans="19:62" x14ac:dyDescent="0.25">
      <c r="S392" s="5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</row>
    <row r="393" spans="19:62" x14ac:dyDescent="0.25">
      <c r="S393" s="5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</row>
    <row r="394" spans="19:62" x14ac:dyDescent="0.25">
      <c r="S394" s="5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</row>
    <row r="395" spans="19:62" x14ac:dyDescent="0.25">
      <c r="S395" s="5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</row>
    <row r="396" spans="19:62" x14ac:dyDescent="0.25">
      <c r="S396" s="5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</row>
    <row r="397" spans="19:62" x14ac:dyDescent="0.25">
      <c r="S397" s="5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</row>
    <row r="398" spans="19:62" x14ac:dyDescent="0.25">
      <c r="S398" s="5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</row>
    <row r="399" spans="19:62" x14ac:dyDescent="0.25">
      <c r="S399" s="5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</row>
    <row r="400" spans="19:62" x14ac:dyDescent="0.25">
      <c r="S400" s="5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</row>
    <row r="401" spans="19:62" x14ac:dyDescent="0.25">
      <c r="S401" s="5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</row>
    <row r="402" spans="19:62" x14ac:dyDescent="0.25">
      <c r="S402" s="5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</row>
    <row r="403" spans="19:62" x14ac:dyDescent="0.25">
      <c r="S403" s="5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</row>
    <row r="404" spans="19:62" x14ac:dyDescent="0.25">
      <c r="S404" s="5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</row>
    <row r="405" spans="19:62" x14ac:dyDescent="0.25">
      <c r="S405" s="5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</row>
    <row r="406" spans="19:62" x14ac:dyDescent="0.25">
      <c r="S406" s="5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</row>
    <row r="407" spans="19:62" x14ac:dyDescent="0.25">
      <c r="S407" s="5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</row>
    <row r="408" spans="19:62" x14ac:dyDescent="0.25">
      <c r="S408" s="5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</row>
    <row r="409" spans="19:62" x14ac:dyDescent="0.25">
      <c r="S409" s="5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</row>
    <row r="410" spans="19:62" x14ac:dyDescent="0.25">
      <c r="S410" s="5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</row>
    <row r="411" spans="19:62" x14ac:dyDescent="0.25">
      <c r="S411" s="5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</row>
    <row r="412" spans="19:62" x14ac:dyDescent="0.25">
      <c r="S412" s="5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</row>
    <row r="413" spans="19:62" x14ac:dyDescent="0.25">
      <c r="S413" s="5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</row>
    <row r="414" spans="19:62" x14ac:dyDescent="0.25">
      <c r="S414" s="5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</row>
    <row r="415" spans="19:62" x14ac:dyDescent="0.25">
      <c r="S415" s="5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</row>
    <row r="416" spans="19:62" x14ac:dyDescent="0.25">
      <c r="S416" s="5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</row>
    <row r="417" spans="19:62" x14ac:dyDescent="0.25">
      <c r="S417" s="5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</row>
    <row r="418" spans="19:62" x14ac:dyDescent="0.25">
      <c r="S418" s="5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</row>
    <row r="419" spans="19:62" x14ac:dyDescent="0.25">
      <c r="S419" s="5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</row>
    <row r="420" spans="19:62" x14ac:dyDescent="0.25">
      <c r="S420" s="5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</row>
    <row r="421" spans="19:62" x14ac:dyDescent="0.25">
      <c r="S421" s="5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</row>
    <row r="422" spans="19:62" x14ac:dyDescent="0.25">
      <c r="S422" s="5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</row>
    <row r="423" spans="19:62" x14ac:dyDescent="0.25">
      <c r="S423" s="5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</row>
    <row r="424" spans="19:62" x14ac:dyDescent="0.25">
      <c r="S424" s="5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</row>
    <row r="425" spans="19:62" x14ac:dyDescent="0.25">
      <c r="S425" s="5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</row>
    <row r="426" spans="19:62" x14ac:dyDescent="0.25">
      <c r="S426" s="5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</row>
    <row r="427" spans="19:62" x14ac:dyDescent="0.25">
      <c r="S427" s="5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</row>
    <row r="428" spans="19:62" x14ac:dyDescent="0.25">
      <c r="S428" s="5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</row>
    <row r="429" spans="19:62" x14ac:dyDescent="0.25">
      <c r="S429" s="5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</row>
    <row r="430" spans="19:62" x14ac:dyDescent="0.25">
      <c r="S430" s="5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</row>
    <row r="431" spans="19:62" x14ac:dyDescent="0.25">
      <c r="S431" s="5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</row>
    <row r="432" spans="19:62" x14ac:dyDescent="0.25">
      <c r="S432" s="5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</row>
    <row r="433" spans="19:62" x14ac:dyDescent="0.25">
      <c r="S433" s="5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</row>
    <row r="434" spans="19:62" x14ac:dyDescent="0.25">
      <c r="S434" s="5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</row>
    <row r="435" spans="19:62" x14ac:dyDescent="0.25">
      <c r="S435" s="5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</row>
    <row r="436" spans="19:62" x14ac:dyDescent="0.25">
      <c r="S436" s="5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</row>
    <row r="437" spans="19:62" x14ac:dyDescent="0.25">
      <c r="S437" s="5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</row>
    <row r="438" spans="19:62" x14ac:dyDescent="0.25">
      <c r="S438" s="5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</row>
    <row r="439" spans="19:62" x14ac:dyDescent="0.25">
      <c r="S439" s="5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</row>
    <row r="440" spans="19:62" x14ac:dyDescent="0.25">
      <c r="S440" s="5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</row>
    <row r="441" spans="19:62" x14ac:dyDescent="0.25">
      <c r="S441" s="5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</row>
    <row r="442" spans="19:62" x14ac:dyDescent="0.25">
      <c r="S442" s="5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</row>
    <row r="443" spans="19:62" x14ac:dyDescent="0.25">
      <c r="S443" s="5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</row>
    <row r="444" spans="19:62" x14ac:dyDescent="0.25">
      <c r="S444" s="5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</row>
    <row r="445" spans="19:62" x14ac:dyDescent="0.25">
      <c r="S445" s="5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</row>
    <row r="446" spans="19:62" x14ac:dyDescent="0.25">
      <c r="S446" s="5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</row>
    <row r="447" spans="19:62" x14ac:dyDescent="0.25">
      <c r="S447" s="5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</row>
    <row r="448" spans="19:62" x14ac:dyDescent="0.25">
      <c r="S448" s="5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</row>
    <row r="449" spans="19:62" x14ac:dyDescent="0.25">
      <c r="S449" s="5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</row>
    <row r="450" spans="19:62" x14ac:dyDescent="0.25">
      <c r="S450" s="5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</row>
    <row r="451" spans="19:62" x14ac:dyDescent="0.25">
      <c r="S451" s="5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</row>
    <row r="452" spans="19:62" x14ac:dyDescent="0.25">
      <c r="S452" s="5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</row>
    <row r="453" spans="19:62" x14ac:dyDescent="0.25">
      <c r="S453" s="5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</row>
    <row r="454" spans="19:62" x14ac:dyDescent="0.25">
      <c r="S454" s="5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</row>
    <row r="455" spans="19:62" x14ac:dyDescent="0.25">
      <c r="S455" s="5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</row>
    <row r="456" spans="19:62" x14ac:dyDescent="0.25">
      <c r="S456" s="5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</row>
    <row r="457" spans="19:62" x14ac:dyDescent="0.25">
      <c r="S457" s="5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</row>
    <row r="458" spans="19:62" x14ac:dyDescent="0.25">
      <c r="S458" s="5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</row>
    <row r="459" spans="19:62" x14ac:dyDescent="0.25">
      <c r="S459" s="5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</row>
    <row r="460" spans="19:62" x14ac:dyDescent="0.25">
      <c r="S460" s="5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</row>
    <row r="461" spans="19:62" x14ac:dyDescent="0.25">
      <c r="S461" s="5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</row>
    <row r="462" spans="19:62" x14ac:dyDescent="0.25">
      <c r="S462" s="5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</row>
    <row r="463" spans="19:62" x14ac:dyDescent="0.25">
      <c r="S463" s="5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</row>
    <row r="464" spans="19:62" x14ac:dyDescent="0.25">
      <c r="S464" s="5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</row>
    <row r="465" spans="19:62" x14ac:dyDescent="0.25">
      <c r="S465" s="5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</row>
    <row r="466" spans="19:62" x14ac:dyDescent="0.25">
      <c r="S466" s="5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</row>
    <row r="467" spans="19:62" x14ac:dyDescent="0.25">
      <c r="S467" s="5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</row>
    <row r="468" spans="19:62" x14ac:dyDescent="0.25">
      <c r="S468" s="5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</row>
    <row r="469" spans="19:62" x14ac:dyDescent="0.25">
      <c r="S469" s="5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</row>
    <row r="470" spans="19:62" x14ac:dyDescent="0.25">
      <c r="S470" s="5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</row>
    <row r="471" spans="19:62" x14ac:dyDescent="0.25">
      <c r="S471" s="5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</row>
    <row r="472" spans="19:62" x14ac:dyDescent="0.25">
      <c r="S472" s="5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</row>
    <row r="473" spans="19:62" x14ac:dyDescent="0.25">
      <c r="S473" s="5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</row>
    <row r="474" spans="19:62" x14ac:dyDescent="0.25">
      <c r="S474" s="5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</row>
    <row r="475" spans="19:62" x14ac:dyDescent="0.25">
      <c r="S475" s="5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</row>
    <row r="476" spans="19:62" x14ac:dyDescent="0.25">
      <c r="S476" s="5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</row>
    <row r="477" spans="19:62" x14ac:dyDescent="0.25">
      <c r="S477" s="5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</row>
    <row r="478" spans="19:62" x14ac:dyDescent="0.25">
      <c r="S478" s="5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</row>
    <row r="479" spans="19:62" x14ac:dyDescent="0.25">
      <c r="S479" s="5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</row>
    <row r="480" spans="19:62" x14ac:dyDescent="0.25">
      <c r="S480" s="5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</row>
    <row r="481" spans="19:62" x14ac:dyDescent="0.25">
      <c r="S481" s="5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</row>
    <row r="482" spans="19:62" x14ac:dyDescent="0.25">
      <c r="S482" s="5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</row>
    <row r="483" spans="19:62" x14ac:dyDescent="0.25">
      <c r="S483" s="5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</row>
    <row r="484" spans="19:62" x14ac:dyDescent="0.25">
      <c r="S484" s="5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</row>
    <row r="485" spans="19:62" x14ac:dyDescent="0.25">
      <c r="S485" s="5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</row>
    <row r="486" spans="19:62" x14ac:dyDescent="0.25">
      <c r="S486" s="5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</row>
    <row r="487" spans="19:62" x14ac:dyDescent="0.25">
      <c r="S487" s="5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</row>
    <row r="488" spans="19:62" x14ac:dyDescent="0.25">
      <c r="S488" s="5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</row>
    <row r="489" spans="19:62" x14ac:dyDescent="0.25">
      <c r="S489" s="5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</row>
    <row r="490" spans="19:62" x14ac:dyDescent="0.25">
      <c r="S490" s="5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</row>
    <row r="491" spans="19:62" x14ac:dyDescent="0.25">
      <c r="S491" s="5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</row>
    <row r="492" spans="19:62" x14ac:dyDescent="0.25">
      <c r="S492" s="5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</row>
    <row r="493" spans="19:62" x14ac:dyDescent="0.25">
      <c r="S493" s="5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</row>
    <row r="494" spans="19:62" x14ac:dyDescent="0.25">
      <c r="S494" s="5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</row>
    <row r="495" spans="19:62" x14ac:dyDescent="0.25">
      <c r="S495" s="5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</row>
    <row r="496" spans="19:62" x14ac:dyDescent="0.25">
      <c r="S496" s="5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</row>
    <row r="497" spans="19:62" x14ac:dyDescent="0.25">
      <c r="S497" s="5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</row>
    <row r="498" spans="19:62" x14ac:dyDescent="0.25">
      <c r="S498" s="5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</row>
    <row r="499" spans="19:62" x14ac:dyDescent="0.25">
      <c r="S499" s="5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</row>
    <row r="500" spans="19:62" x14ac:dyDescent="0.25">
      <c r="S500" s="5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</row>
    <row r="501" spans="19:62" x14ac:dyDescent="0.25">
      <c r="S501" s="5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</row>
    <row r="502" spans="19:62" x14ac:dyDescent="0.25">
      <c r="S502" s="5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</row>
    <row r="503" spans="19:62" x14ac:dyDescent="0.25">
      <c r="S503" s="5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</row>
    <row r="504" spans="19:62" x14ac:dyDescent="0.25">
      <c r="S504" s="5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</row>
    <row r="505" spans="19:62" x14ac:dyDescent="0.25">
      <c r="S505" s="5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</row>
    <row r="506" spans="19:62" x14ac:dyDescent="0.25">
      <c r="S506" s="5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</row>
    <row r="507" spans="19:62" x14ac:dyDescent="0.25">
      <c r="S507" s="5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</row>
    <row r="508" spans="19:62" x14ac:dyDescent="0.25">
      <c r="S508" s="5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</row>
    <row r="509" spans="19:62" x14ac:dyDescent="0.25">
      <c r="S509" s="5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</row>
    <row r="510" spans="19:62" x14ac:dyDescent="0.25">
      <c r="S510" s="5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</row>
    <row r="511" spans="19:62" x14ac:dyDescent="0.25">
      <c r="S511" s="5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</row>
    <row r="512" spans="19:62" x14ac:dyDescent="0.25">
      <c r="S512" s="5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</row>
    <row r="513" spans="19:62" x14ac:dyDescent="0.25">
      <c r="S513" s="5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</row>
    <row r="514" spans="19:62" x14ac:dyDescent="0.25">
      <c r="S514" s="5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</row>
    <row r="515" spans="19:62" x14ac:dyDescent="0.25">
      <c r="S515" s="5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</row>
    <row r="516" spans="19:62" x14ac:dyDescent="0.25">
      <c r="S516" s="5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</row>
    <row r="517" spans="19:62" x14ac:dyDescent="0.25">
      <c r="S517" s="5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</row>
    <row r="518" spans="19:62" x14ac:dyDescent="0.25">
      <c r="S518" s="5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</row>
    <row r="519" spans="19:62" x14ac:dyDescent="0.25">
      <c r="S519" s="5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</row>
    <row r="520" spans="19:62" x14ac:dyDescent="0.25">
      <c r="S520" s="5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</row>
    <row r="521" spans="19:62" x14ac:dyDescent="0.25">
      <c r="S521" s="5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</row>
    <row r="522" spans="19:62" x14ac:dyDescent="0.25">
      <c r="S522" s="5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</row>
    <row r="523" spans="19:62" x14ac:dyDescent="0.25">
      <c r="S523" s="5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</row>
    <row r="524" spans="19:62" x14ac:dyDescent="0.25">
      <c r="S524" s="5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</row>
    <row r="525" spans="19:62" x14ac:dyDescent="0.25">
      <c r="S525" s="5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</row>
    <row r="526" spans="19:62" x14ac:dyDescent="0.25">
      <c r="S526" s="5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</row>
    <row r="527" spans="19:62" x14ac:dyDescent="0.25">
      <c r="S527" s="5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</row>
    <row r="528" spans="19:62" x14ac:dyDescent="0.25">
      <c r="S528" s="5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</row>
    <row r="529" spans="19:62" x14ac:dyDescent="0.25">
      <c r="S529" s="5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</row>
    <row r="530" spans="19:62" x14ac:dyDescent="0.25">
      <c r="S530" s="5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</row>
    <row r="531" spans="19:62" x14ac:dyDescent="0.25">
      <c r="S531" s="5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</row>
    <row r="532" spans="19:62" x14ac:dyDescent="0.25">
      <c r="S532" s="5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</row>
    <row r="533" spans="19:62" x14ac:dyDescent="0.25">
      <c r="S533" s="5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</row>
    <row r="534" spans="19:62" x14ac:dyDescent="0.25">
      <c r="S534" s="5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</row>
    <row r="535" spans="19:62" x14ac:dyDescent="0.25">
      <c r="S535" s="5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</row>
    <row r="536" spans="19:62" x14ac:dyDescent="0.25">
      <c r="S536" s="5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</row>
    <row r="537" spans="19:62" x14ac:dyDescent="0.25">
      <c r="S537" s="5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</row>
    <row r="538" spans="19:62" x14ac:dyDescent="0.25">
      <c r="S538" s="5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</row>
    <row r="539" spans="19:62" x14ac:dyDescent="0.25">
      <c r="S539" s="5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</row>
    <row r="540" spans="19:62" x14ac:dyDescent="0.25">
      <c r="S540" s="5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</row>
    <row r="541" spans="19:62" x14ac:dyDescent="0.25">
      <c r="S541" s="5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</row>
    <row r="542" spans="19:62" x14ac:dyDescent="0.25">
      <c r="S542" s="5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</row>
    <row r="543" spans="19:62" x14ac:dyDescent="0.25">
      <c r="S543" s="5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</row>
    <row r="544" spans="19:62" x14ac:dyDescent="0.25">
      <c r="S544" s="5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</row>
    <row r="545" spans="19:62" x14ac:dyDescent="0.25">
      <c r="S545" s="5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</row>
    <row r="546" spans="19:62" x14ac:dyDescent="0.25">
      <c r="S546" s="5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</row>
    <row r="547" spans="19:62" x14ac:dyDescent="0.25">
      <c r="S547" s="5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</row>
    <row r="548" spans="19:62" x14ac:dyDescent="0.25">
      <c r="S548" s="5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</row>
    <row r="549" spans="19:62" x14ac:dyDescent="0.25">
      <c r="S549" s="5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</row>
    <row r="550" spans="19:62" x14ac:dyDescent="0.25">
      <c r="S550" s="5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</row>
    <row r="551" spans="19:62" x14ac:dyDescent="0.25">
      <c r="S551" s="5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</row>
    <row r="552" spans="19:62" x14ac:dyDescent="0.25">
      <c r="S552" s="5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</row>
    <row r="553" spans="19:62" x14ac:dyDescent="0.25">
      <c r="S553" s="5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</row>
    <row r="554" spans="19:62" x14ac:dyDescent="0.25">
      <c r="S554" s="5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</row>
    <row r="555" spans="19:62" x14ac:dyDescent="0.25">
      <c r="S555" s="5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</row>
    <row r="556" spans="19:62" x14ac:dyDescent="0.25">
      <c r="S556" s="5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</row>
    <row r="557" spans="19:62" x14ac:dyDescent="0.25">
      <c r="S557" s="5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</row>
    <row r="558" spans="19:62" x14ac:dyDescent="0.25">
      <c r="S558" s="5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</row>
    <row r="559" spans="19:62" x14ac:dyDescent="0.25">
      <c r="S559" s="5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</row>
    <row r="560" spans="19:62" x14ac:dyDescent="0.25">
      <c r="S560" s="5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</row>
    <row r="561" spans="19:62" x14ac:dyDescent="0.25">
      <c r="S561" s="5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</row>
    <row r="562" spans="19:62" x14ac:dyDescent="0.25">
      <c r="S562" s="5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</row>
    <row r="563" spans="19:62" x14ac:dyDescent="0.25">
      <c r="S563" s="5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</row>
    <row r="564" spans="19:62" x14ac:dyDescent="0.25">
      <c r="S564" s="5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</row>
    <row r="565" spans="19:62" x14ac:dyDescent="0.25">
      <c r="S565" s="5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</row>
    <row r="566" spans="19:62" x14ac:dyDescent="0.25">
      <c r="S566" s="5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</row>
    <row r="567" spans="19:62" x14ac:dyDescent="0.25">
      <c r="S567" s="5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</row>
    <row r="568" spans="19:62" x14ac:dyDescent="0.25">
      <c r="S568" s="5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</row>
    <row r="569" spans="19:62" x14ac:dyDescent="0.25">
      <c r="S569" s="5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</row>
    <row r="570" spans="19:62" x14ac:dyDescent="0.25">
      <c r="S570" s="5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</row>
    <row r="571" spans="19:62" x14ac:dyDescent="0.25">
      <c r="S571" s="5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</row>
    <row r="572" spans="19:62" x14ac:dyDescent="0.25">
      <c r="S572" s="5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</row>
    <row r="573" spans="19:62" x14ac:dyDescent="0.25">
      <c r="S573" s="5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</row>
    <row r="574" spans="19:62" x14ac:dyDescent="0.25">
      <c r="S574" s="5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</row>
    <row r="575" spans="19:62" x14ac:dyDescent="0.25">
      <c r="S575" s="5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</row>
    <row r="576" spans="19:62" x14ac:dyDescent="0.25">
      <c r="S576" s="5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</row>
    <row r="577" spans="19:62" x14ac:dyDescent="0.25">
      <c r="S577" s="5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</row>
    <row r="578" spans="19:62" x14ac:dyDescent="0.25">
      <c r="S578" s="5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</row>
    <row r="579" spans="19:62" x14ac:dyDescent="0.25">
      <c r="S579" s="5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</row>
    <row r="580" spans="19:62" x14ac:dyDescent="0.25">
      <c r="S580" s="5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</row>
    <row r="581" spans="19:62" x14ac:dyDescent="0.25">
      <c r="S581" s="5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</row>
    <row r="582" spans="19:62" x14ac:dyDescent="0.25">
      <c r="S582" s="5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</row>
    <row r="583" spans="19:62" x14ac:dyDescent="0.25">
      <c r="S583" s="5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</row>
    <row r="584" spans="19:62" x14ac:dyDescent="0.25">
      <c r="S584" s="5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</row>
    <row r="585" spans="19:62" x14ac:dyDescent="0.25">
      <c r="S585" s="5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</row>
    <row r="586" spans="19:62" x14ac:dyDescent="0.25">
      <c r="S586" s="5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</row>
    <row r="587" spans="19:62" x14ac:dyDescent="0.25">
      <c r="S587" s="5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</row>
    <row r="588" spans="19:62" x14ac:dyDescent="0.25">
      <c r="S588" s="5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</row>
    <row r="589" spans="19:62" x14ac:dyDescent="0.25">
      <c r="S589" s="5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</row>
    <row r="590" spans="19:62" x14ac:dyDescent="0.25">
      <c r="S590" s="5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</row>
    <row r="591" spans="19:62" x14ac:dyDescent="0.25">
      <c r="S591" s="5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</row>
    <row r="592" spans="19:62" x14ac:dyDescent="0.25">
      <c r="S592" s="5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</row>
    <row r="593" spans="19:62" x14ac:dyDescent="0.25">
      <c r="S593" s="5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</row>
    <row r="594" spans="19:62" x14ac:dyDescent="0.25">
      <c r="S594" s="5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</row>
    <row r="595" spans="19:62" x14ac:dyDescent="0.25">
      <c r="S595" s="5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</row>
    <row r="596" spans="19:62" x14ac:dyDescent="0.25">
      <c r="S596" s="5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</row>
    <row r="597" spans="19:62" x14ac:dyDescent="0.25">
      <c r="S597" s="5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</row>
    <row r="598" spans="19:62" x14ac:dyDescent="0.25">
      <c r="S598" s="5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</row>
    <row r="599" spans="19:62" x14ac:dyDescent="0.25">
      <c r="S599" s="5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</row>
    <row r="600" spans="19:62" x14ac:dyDescent="0.25">
      <c r="S600" s="5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</row>
    <row r="601" spans="19:62" x14ac:dyDescent="0.25">
      <c r="S601" s="5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</row>
    <row r="602" spans="19:62" x14ac:dyDescent="0.25">
      <c r="S602" s="5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</row>
    <row r="603" spans="19:62" x14ac:dyDescent="0.25">
      <c r="S603" s="5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</row>
    <row r="604" spans="19:62" x14ac:dyDescent="0.25">
      <c r="S604" s="5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</row>
    <row r="605" spans="19:62" x14ac:dyDescent="0.25">
      <c r="S605" s="5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</row>
    <row r="606" spans="19:62" x14ac:dyDescent="0.25">
      <c r="S606" s="5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</row>
    <row r="607" spans="19:62" x14ac:dyDescent="0.25">
      <c r="S607" s="5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</row>
    <row r="608" spans="19:62" x14ac:dyDescent="0.25">
      <c r="S608" s="5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</row>
    <row r="609" spans="19:62" x14ac:dyDescent="0.25">
      <c r="S609" s="5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</row>
    <row r="610" spans="19:62" x14ac:dyDescent="0.25">
      <c r="S610" s="5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</row>
    <row r="611" spans="19:62" x14ac:dyDescent="0.25">
      <c r="S611" s="5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</row>
    <row r="612" spans="19:62" x14ac:dyDescent="0.25">
      <c r="S612" s="5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</row>
    <row r="613" spans="19:62" x14ac:dyDescent="0.25">
      <c r="S613" s="5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</row>
    <row r="614" spans="19:62" x14ac:dyDescent="0.25">
      <c r="S614" s="5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</row>
    <row r="615" spans="19:62" x14ac:dyDescent="0.25">
      <c r="S615" s="5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</row>
    <row r="616" spans="19:62" x14ac:dyDescent="0.25">
      <c r="S616" s="5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</row>
    <row r="617" spans="19:62" x14ac:dyDescent="0.25">
      <c r="S617" s="5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</row>
    <row r="618" spans="19:62" x14ac:dyDescent="0.25">
      <c r="S618" s="5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</row>
    <row r="619" spans="19:62" x14ac:dyDescent="0.25">
      <c r="S619" s="5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</row>
    <row r="620" spans="19:62" x14ac:dyDescent="0.25">
      <c r="S620" s="5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</row>
    <row r="621" spans="19:62" x14ac:dyDescent="0.25">
      <c r="S621" s="5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</row>
    <row r="622" spans="19:62" x14ac:dyDescent="0.25">
      <c r="S622" s="5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</row>
    <row r="623" spans="19:62" x14ac:dyDescent="0.25">
      <c r="S623" s="5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</row>
    <row r="624" spans="19:62" x14ac:dyDescent="0.25">
      <c r="S624" s="5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</row>
    <row r="625" spans="19:62" x14ac:dyDescent="0.25">
      <c r="S625" s="5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</row>
    <row r="626" spans="19:62" x14ac:dyDescent="0.25">
      <c r="S626" s="5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</row>
    <row r="627" spans="19:62" x14ac:dyDescent="0.25">
      <c r="S627" s="5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</row>
    <row r="628" spans="19:62" x14ac:dyDescent="0.25">
      <c r="S628" s="5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</row>
    <row r="629" spans="19:62" x14ac:dyDescent="0.25">
      <c r="S629" s="5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</row>
    <row r="630" spans="19:62" x14ac:dyDescent="0.25">
      <c r="S630" s="5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</row>
    <row r="631" spans="19:62" x14ac:dyDescent="0.25">
      <c r="S631" s="5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</row>
    <row r="632" spans="19:62" x14ac:dyDescent="0.25">
      <c r="S632" s="5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</row>
    <row r="633" spans="19:62" x14ac:dyDescent="0.25">
      <c r="S633" s="5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</row>
    <row r="634" spans="19:62" x14ac:dyDescent="0.25">
      <c r="S634" s="5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</row>
    <row r="635" spans="19:62" x14ac:dyDescent="0.25">
      <c r="S635" s="5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</row>
    <row r="636" spans="19:62" x14ac:dyDescent="0.25">
      <c r="S636" s="5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</row>
    <row r="637" spans="19:62" x14ac:dyDescent="0.25">
      <c r="S637" s="5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</row>
    <row r="638" spans="19:62" x14ac:dyDescent="0.25">
      <c r="S638" s="5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</row>
    <row r="639" spans="19:62" x14ac:dyDescent="0.25">
      <c r="S639" s="5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</row>
    <row r="640" spans="19:62" x14ac:dyDescent="0.25">
      <c r="S640" s="5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</row>
    <row r="641" spans="19:62" x14ac:dyDescent="0.25">
      <c r="S641" s="5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</row>
  </sheetData>
  <mergeCells count="34">
    <mergeCell ref="A22:A23"/>
    <mergeCell ref="N23:O23"/>
    <mergeCell ref="A16:A17"/>
    <mergeCell ref="N17:O17"/>
    <mergeCell ref="A18:A19"/>
    <mergeCell ref="A20:A21"/>
    <mergeCell ref="N21:O21"/>
    <mergeCell ref="A10:A11"/>
    <mergeCell ref="N11:O11"/>
    <mergeCell ref="A12:A13"/>
    <mergeCell ref="N13:O13"/>
    <mergeCell ref="A14:A15"/>
    <mergeCell ref="N15:O15"/>
    <mergeCell ref="I4:I5"/>
    <mergeCell ref="A6:A7"/>
    <mergeCell ref="N7:O7"/>
    <mergeCell ref="A8:A9"/>
    <mergeCell ref="N9:O9"/>
    <mergeCell ref="A26:O26"/>
    <mergeCell ref="C25:F25"/>
    <mergeCell ref="K25:M25"/>
    <mergeCell ref="A1:O1"/>
    <mergeCell ref="L2:O2"/>
    <mergeCell ref="C3:E3"/>
    <mergeCell ref="F3:H3"/>
    <mergeCell ref="I3:K3"/>
    <mergeCell ref="L3:M4"/>
    <mergeCell ref="N3:O4"/>
    <mergeCell ref="A3:A5"/>
    <mergeCell ref="D4:E4"/>
    <mergeCell ref="G4:H4"/>
    <mergeCell ref="J4:K4"/>
    <mergeCell ref="B4:B5"/>
    <mergeCell ref="C4:C5"/>
  </mergeCells>
  <phoneticPr fontId="59" type="noConversion"/>
  <printOptions horizontalCentered="1"/>
  <pageMargins left="0" right="0" top="0.39374999999999999" bottom="0" header="0.11805599999999999" footer="0.11805599999999999"/>
  <pageSetup paperSize="8" fitToWidth="0" orientation="landscape"/>
  <rowBreaks count="1" manualBreakCount="1">
    <brk id="26" man="1"/>
  </rowBreaks>
  <drawing r:id="rId1"/>
  <legacyDrawing r:id="rId2"/>
  <extLst>
    <ext uri="smNativeData">
      <pm:sheetPrefs xmlns:pm="smNativeData" day="17690609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16.12 (P)</vt:lpstr>
      <vt:lpstr>'16.12 (P)'!Область_печати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Sukhrob</dc:creator>
  <cp:keywords/>
  <dc:description/>
  <cp:lastModifiedBy>Sukhrob</cp:lastModifiedBy>
  <cp:revision>0</cp:revision>
  <dcterms:created xsi:type="dcterms:W3CDTF">2025-12-16T07:07:36Z</dcterms:created>
  <dcterms:modified xsi:type="dcterms:W3CDTF">2026-05-19T06:03:42Z</dcterms:modified>
</cp:coreProperties>
</file>