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go\srmt-prime\template\"/>
    </mc:Choice>
  </mc:AlternateContent>
  <xr:revisionPtr revIDLastSave="0" documentId="13_ncr:1_{1DFE0DF7-8CEF-4459-AC43-5AD4C9E98012}" xr6:coauthVersionLast="47" xr6:coauthVersionMax="47" xr10:uidLastSave="{00000000-0000-0000-0000-000000000000}"/>
  <bookViews>
    <workbookView xWindow="-108" yWindow="-108" windowWidth="23256" windowHeight="12456" xr2:uid="{580E0F64-EAB3-4BA3-8103-B8D5C69105A5}"/>
  </bookViews>
  <sheets>
    <sheet name="13.03.26" sheetId="1" r:id="rId1"/>
  </sheets>
  <definedNames>
    <definedName name="_xlnm._FilterDatabase" localSheetId="0" hidden="1">'13.03.26'!$A$6:$AK$19</definedName>
    <definedName name="_xlnm.Print_Titles" localSheetId="0">'13.03.26'!$4:$6</definedName>
    <definedName name="_xlnm.Print_Area" localSheetId="0">'13.03.26'!$A$3:$AK$19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O10" i="1"/>
  <c r="L12" i="1"/>
  <c r="T14" i="1"/>
  <c r="T13" i="1"/>
  <c r="C5" i="1"/>
  <c r="Z5" i="1"/>
  <c r="D5" i="1"/>
  <c r="C4" i="1"/>
  <c r="Z4" i="1"/>
  <c r="E16" i="1" l="1"/>
  <c r="E15" i="1"/>
  <c r="E17" i="1" l="1"/>
</calcChain>
</file>

<file path=xl/sharedStrings.xml><?xml version="1.0" encoding="utf-8"?>
<sst xmlns="http://schemas.openxmlformats.org/spreadsheetml/2006/main" count="63" uniqueCount="51">
  <si>
    <t>%</t>
  </si>
  <si>
    <t>Бажарилди:</t>
  </si>
  <si>
    <t>млн.кВт.соат</t>
  </si>
  <si>
    <t>Амалда:</t>
  </si>
  <si>
    <t>фарқи, +/-</t>
  </si>
  <si>
    <t>ўсиш суръати, %</t>
  </si>
  <si>
    <t>1 кунда ишлаб чиқарилган электр энергия, млн.кВт.соат</t>
  </si>
  <si>
    <t>Қуввати, МВт</t>
  </si>
  <si>
    <t>ГЭСлар орқали сув сарфм, м3/с</t>
  </si>
  <si>
    <t xml:space="preserve">Сув омборига келаётган сув м3/с </t>
  </si>
  <si>
    <t>Сув босими, м</t>
  </si>
  <si>
    <t>Сув омборидаги сув хажми, млн.м3</t>
  </si>
  <si>
    <t>▼Юқори бъефнинг сув сатҳи</t>
  </si>
  <si>
    <t>Ҳарорат, об-ҳаво</t>
  </si>
  <si>
    <t>фарқи,+/-</t>
  </si>
  <si>
    <r>
      <rPr>
        <b/>
        <sz val="22"/>
        <rFont val="Times New Roman"/>
        <family val="1"/>
        <charset val="204"/>
      </rPr>
      <t xml:space="preserve">фоизда, </t>
    </r>
    <r>
      <rPr>
        <b/>
        <sz val="22"/>
        <rFont val="Calibri"/>
        <family val="2"/>
        <charset val="204"/>
      </rPr>
      <t>%</t>
    </r>
  </si>
  <si>
    <r>
      <rPr>
        <b/>
        <sz val="22"/>
        <rFont val="Symbol"/>
        <family val="1"/>
        <charset val="2"/>
      </rPr>
      <t>D</t>
    </r>
    <r>
      <rPr>
        <b/>
        <sz val="22"/>
        <rFont val="Times New Roman"/>
        <family val="1"/>
        <charset val="204"/>
      </rPr>
      <t xml:space="preserve"> 1 кунлик электр энергия ишлаб чиқарилишининг ўзгариши, </t>
    </r>
    <r>
      <rPr>
        <b/>
        <sz val="22"/>
        <color rgb="FFFF0000"/>
        <rFont val="Times New Roman"/>
        <family val="1"/>
        <charset val="204"/>
      </rPr>
      <t>+/-</t>
    </r>
  </si>
  <si>
    <r>
      <rPr>
        <b/>
        <sz val="22"/>
        <rFont val="Times New Roman"/>
        <family val="1"/>
        <charset val="204"/>
      </rPr>
      <t xml:space="preserve">1 кунда ишлаб чиқарилган электр энергия, </t>
    </r>
    <r>
      <rPr>
        <b/>
        <sz val="22"/>
        <color rgb="FFFF0000"/>
        <rFont val="Times New Roman"/>
        <family val="1"/>
        <charset val="204"/>
      </rPr>
      <t>млн.кВт.соат</t>
    </r>
  </si>
  <si>
    <r>
      <rPr>
        <b/>
        <sz val="22"/>
        <rFont val="Symbol"/>
        <family val="1"/>
        <charset val="2"/>
      </rPr>
      <t>D</t>
    </r>
    <r>
      <rPr>
        <b/>
        <sz val="22"/>
        <rFont val="Times New Roman"/>
        <family val="1"/>
        <charset val="204"/>
      </rPr>
      <t xml:space="preserve"> Қувват ўзгариши, </t>
    </r>
    <r>
      <rPr>
        <b/>
        <sz val="22"/>
        <color rgb="FFFF0000"/>
        <rFont val="Times New Roman"/>
        <family val="1"/>
        <charset val="204"/>
      </rPr>
      <t>+/- МВт</t>
    </r>
  </si>
  <si>
    <r>
      <rPr>
        <b/>
        <sz val="22"/>
        <rFont val="Times New Roman"/>
        <family val="1"/>
        <charset val="204"/>
      </rPr>
      <t xml:space="preserve">Қуввати, </t>
    </r>
    <r>
      <rPr>
        <b/>
        <sz val="22"/>
        <color rgb="FFFF0000"/>
        <rFont val="Times New Roman"/>
        <family val="1"/>
        <charset val="204"/>
      </rPr>
      <t>МВт</t>
    </r>
  </si>
  <si>
    <t>Ишлаётган агрегатлар сони</t>
  </si>
  <si>
    <t>Агрегатлар сони</t>
  </si>
  <si>
    <r>
      <rPr>
        <b/>
        <sz val="22"/>
        <rFont val="Times New Roman"/>
        <family val="1"/>
        <charset val="204"/>
      </rPr>
      <t xml:space="preserve">Отбор, салт ташлама, </t>
    </r>
    <r>
      <rPr>
        <b/>
        <sz val="22"/>
        <color rgb="FFFF0000"/>
        <rFont val="Times New Roman"/>
        <family val="1"/>
        <charset val="204"/>
      </rPr>
      <t xml:space="preserve"> м3/с</t>
    </r>
  </si>
  <si>
    <r>
      <rPr>
        <b/>
        <sz val="22"/>
        <rFont val="Times New Roman"/>
        <family val="1"/>
        <charset val="204"/>
      </rPr>
      <t xml:space="preserve">Шу жумладан ГЭСлар орқали, </t>
    </r>
    <r>
      <rPr>
        <b/>
        <sz val="22"/>
        <color rgb="FFFF0000"/>
        <rFont val="Times New Roman"/>
        <family val="1"/>
        <charset val="204"/>
      </rPr>
      <t>м3/с</t>
    </r>
  </si>
  <si>
    <r>
      <rPr>
        <b/>
        <sz val="22"/>
        <rFont val="Times New Roman"/>
        <family val="1"/>
        <charset val="204"/>
      </rPr>
      <t xml:space="preserve">Сув омборидан чиқаётган сув </t>
    </r>
    <r>
      <rPr>
        <b/>
        <sz val="22"/>
        <color rgb="FFFF0000"/>
        <rFont val="Times New Roman"/>
        <family val="1"/>
        <charset val="204"/>
      </rPr>
      <t xml:space="preserve">м3/с </t>
    </r>
  </si>
  <si>
    <r>
      <rPr>
        <b/>
        <sz val="22"/>
        <rFont val="Times New Roman"/>
        <family val="1"/>
        <charset val="204"/>
      </rPr>
      <t xml:space="preserve">Сув омборига келаётган сув </t>
    </r>
    <r>
      <rPr>
        <b/>
        <sz val="22"/>
        <color rgb="FFFF0000"/>
        <rFont val="Times New Roman"/>
        <family val="1"/>
        <charset val="204"/>
      </rPr>
      <t xml:space="preserve">м3/с </t>
    </r>
  </si>
  <si>
    <r>
      <rPr>
        <b/>
        <sz val="22"/>
        <rFont val="Times New Roman"/>
        <family val="1"/>
        <charset val="204"/>
      </rPr>
      <t xml:space="preserve">Сув босими, </t>
    </r>
    <r>
      <rPr>
        <b/>
        <sz val="22"/>
        <color rgb="FFFF0000"/>
        <rFont val="Times New Roman"/>
        <family val="1"/>
        <charset val="204"/>
      </rPr>
      <t>М</t>
    </r>
  </si>
  <si>
    <r>
      <rPr>
        <b/>
        <sz val="22"/>
        <rFont val="Symbol"/>
        <family val="1"/>
        <charset val="2"/>
      </rPr>
      <t>D</t>
    </r>
    <r>
      <rPr>
        <b/>
        <sz val="22"/>
        <rFont val="Times New Roman"/>
        <family val="1"/>
        <charset val="204"/>
      </rPr>
      <t xml:space="preserve"> Сув ҳажмининг ўзгариши, 
</t>
    </r>
    <r>
      <rPr>
        <b/>
        <sz val="22"/>
        <color rgb="FFFF0000"/>
        <rFont val="Times New Roman"/>
        <family val="1"/>
        <charset val="204"/>
      </rPr>
      <t>+/- млн.м3</t>
    </r>
  </si>
  <si>
    <r>
      <rPr>
        <b/>
        <sz val="22"/>
        <rFont val="Times New Roman"/>
        <family val="1"/>
        <charset val="204"/>
      </rPr>
      <t xml:space="preserve">Сув омборидаги сув ҳажми, </t>
    </r>
    <r>
      <rPr>
        <b/>
        <sz val="22"/>
        <color rgb="FFFF0000"/>
        <rFont val="Times New Roman"/>
        <family val="1"/>
        <charset val="204"/>
      </rPr>
      <t>млн.м3</t>
    </r>
  </si>
  <si>
    <r>
      <rPr>
        <b/>
        <sz val="22"/>
        <rFont val="Times New Roman"/>
        <family val="1"/>
        <charset val="204"/>
      </rPr>
      <t xml:space="preserve"> </t>
    </r>
    <r>
      <rPr>
        <b/>
        <sz val="22"/>
        <rFont val="Symbol"/>
        <family val="1"/>
        <charset val="2"/>
      </rPr>
      <t>D</t>
    </r>
    <r>
      <rPr>
        <b/>
        <sz val="22"/>
        <rFont val="Times New Roman"/>
        <family val="1"/>
        <charset val="204"/>
      </rPr>
      <t xml:space="preserve"> Сув сатҳининг ўзгариши, </t>
    </r>
    <r>
      <rPr>
        <b/>
        <sz val="22"/>
        <color rgb="FFFF0000"/>
        <rFont val="Times New Roman"/>
        <family val="1"/>
        <charset val="204"/>
      </rPr>
      <t>+/- см</t>
    </r>
  </si>
  <si>
    <t>ўтган йилга нисбатан</t>
  </si>
  <si>
    <t>Йил бошидан ишлаб чиқарилган электр энергия, млн.кВт.соат</t>
  </si>
  <si>
    <t>Ой бошидан ишлаб чиқарилган электр энергия, млн.кВт.соат</t>
  </si>
  <si>
    <t>прогнозга нисбатан</t>
  </si>
  <si>
    <r>
      <rPr>
        <b/>
        <sz val="22"/>
        <rFont val="Times New Roman"/>
        <family val="1"/>
        <charset val="204"/>
      </rPr>
      <t xml:space="preserve">Йил бошидан ишлаб чиқарилган электр энергия, </t>
    </r>
    <r>
      <rPr>
        <b/>
        <sz val="22"/>
        <color rgb="FFFF0000"/>
        <rFont val="Times New Roman"/>
        <family val="1"/>
        <charset val="204"/>
      </rPr>
      <t>млн.кВт.соат</t>
    </r>
  </si>
  <si>
    <r>
      <rPr>
        <b/>
        <sz val="22"/>
        <rFont val="Times New Roman"/>
        <family val="1"/>
        <charset val="204"/>
      </rPr>
      <t xml:space="preserve">Ой бошидан ишлаб чиқарилган электр энергия, </t>
    </r>
    <r>
      <rPr>
        <b/>
        <sz val="22"/>
        <color rgb="FFFF0000"/>
        <rFont val="Times New Roman"/>
        <family val="1"/>
        <charset val="204"/>
      </rPr>
      <t>млн.кВт.соат</t>
    </r>
  </si>
  <si>
    <r>
      <rPr>
        <b/>
        <sz val="22"/>
        <rFont val="Times New Roman"/>
        <family val="1"/>
        <charset val="204"/>
      </rPr>
      <t xml:space="preserve">Ўрнатилган қуввати,  </t>
    </r>
    <r>
      <rPr>
        <b/>
        <sz val="22"/>
        <color rgb="FFFF0000"/>
        <rFont val="Times New Roman"/>
        <family val="1"/>
        <charset val="204"/>
      </rPr>
      <t>МВт</t>
    </r>
  </si>
  <si>
    <t>ГЭСлар номи</t>
  </si>
  <si>
    <t>-</t>
  </si>
  <si>
    <t>Модернизацияда</t>
  </si>
  <si>
    <t>Таъмирдаги агрегатлар сони</t>
  </si>
  <si>
    <t xml:space="preserve"> </t>
  </si>
  <si>
    <t>Заҳирадаги агрегатлар сони</t>
  </si>
  <si>
    <t xml:space="preserve">                                                                                                               </t>
  </si>
  <si>
    <t>Умумий агрегатлар сони</t>
  </si>
  <si>
    <t>Умумий ГЭСлар сони</t>
  </si>
  <si>
    <t>"Ўзбекгидроэнерго" АЖ   бўйича:</t>
  </si>
  <si>
    <r>
      <rPr>
        <b/>
        <sz val="22"/>
        <rFont val="Times New Roman"/>
        <family val="1"/>
        <charset val="204"/>
      </rPr>
      <t xml:space="preserve">ГЭСлар орқали ўтган кунга нисбатан сув сарфи ўзгариши, </t>
    </r>
    <r>
      <rPr>
        <b/>
        <sz val="22"/>
        <color rgb="FFFF0000"/>
        <rFont val="Times New Roman"/>
        <family val="1"/>
        <charset val="204"/>
      </rPr>
      <t>+/- м3/с</t>
    </r>
  </si>
  <si>
    <r>
      <rPr>
        <b/>
        <sz val="22"/>
        <rFont val="Times New Roman"/>
        <family val="1"/>
        <charset val="204"/>
      </rPr>
      <t xml:space="preserve">Сув омборига келаётган сувнинг ўтган кунга нисбатан ўзгариши, </t>
    </r>
    <r>
      <rPr>
        <b/>
        <sz val="22"/>
        <color rgb="FFFF0000"/>
        <rFont val="Times New Roman"/>
        <family val="1"/>
        <charset val="204"/>
      </rPr>
      <t xml:space="preserve">+/- м3/с </t>
    </r>
  </si>
  <si>
    <t>"Ўзбекгидроэнерго" АЖ филиаллари томонидан кунлик ишлаб чиқариши, сув сарфлари қўрсаткичлари хақида маълумот</t>
  </si>
  <si>
    <t>"Ўзбекгидроэнерго" АЖ  тизимидаги гидроэлектростанцияларда электр энергия ишлаб чиқаришнинг бориши тўғрисида кунлик мониторинг.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</si>
</sst>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"/>
    <numFmt numFmtId="165" formatCode="0.000"/>
    <numFmt numFmtId="166" formatCode="0&quot;ºС&quot;"/>
    <numFmt numFmtId="167" formatCode="\+0.000;\-0.000;0.000"/>
    <numFmt numFmtId="168" formatCode="#\ ##0.0"/>
    <numFmt numFmtId="169" formatCode="\+0;\-0;0"/>
    <numFmt numFmtId="170" formatCode="\+0.0;\-0.0;0.0"/>
    <numFmt numFmtId="171" formatCode="0.0000"/>
    <numFmt numFmtId="172" formatCode="0&quot; та&quot;"/>
    <numFmt numFmtId="173" formatCode="#\ ##0.00000"/>
    <numFmt numFmtId="174" formatCode="#\ ##0.00"/>
    <numFmt numFmtId="175" formatCode="#\ ##0.000"/>
    <numFmt numFmtId="176" formatCode="#\ ##0.0000"/>
    <numFmt numFmtId="177" formatCode="0&quot; январь кунги ҳолат прогнози:&quot;"/>
    <numFmt numFmtId="179" formatCode="dd/mm/yyyy\ \й\и\л"/>
    <numFmt numFmtId="180" formatCode="yyyy\ \й\и\л"/>
    <numFmt numFmtId="181" formatCode="dd\ mmmm"/>
    <numFmt numFmtId="182" formatCode="[$-FC19]d\ mmmm\ yyyy\ &quot;г.&quot;"/>
    <numFmt numFmtId="184" formatCode="mmmm&quot; ойи прогнози:&quot;"/>
    <numFmt numFmtId="185" formatCode="dd\ mmmm&quot; кунги холат прогнози:&quot;"/>
    <numFmt numFmtId="186" formatCode="yyyy&quot; йил прогнози:&quot;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b/>
      <sz val="22"/>
      <name val="Times New Roman"/>
      <family val="1"/>
      <charset val="204"/>
    </font>
    <font>
      <sz val="18"/>
      <name val="Times New Roman"/>
      <family val="1"/>
      <charset val="204"/>
    </font>
    <font>
      <b/>
      <sz val="18"/>
      <name val="Times New Roman"/>
      <family val="1"/>
      <charset val="204"/>
    </font>
    <font>
      <sz val="24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0"/>
      <color indexed="8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20"/>
      <name val="Times New Roman"/>
      <family val="1"/>
      <charset val="204"/>
    </font>
    <font>
      <sz val="10"/>
      <name val="Times New Roman"/>
      <family val="1"/>
      <charset val="204"/>
    </font>
    <font>
      <sz val="22"/>
      <name val="Times New Roman"/>
      <family val="1"/>
      <charset val="204"/>
    </font>
    <font>
      <b/>
      <sz val="22"/>
      <name val="Calibri"/>
      <family val="2"/>
      <charset val="204"/>
    </font>
    <font>
      <b/>
      <sz val="22"/>
      <name val="Symbol"/>
      <family val="1"/>
      <charset val="2"/>
    </font>
    <font>
      <b/>
      <sz val="22"/>
      <color rgb="FFFF0000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sz val="20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24"/>
      <name val="Times New Roman"/>
      <family val="1"/>
      <charset val="204"/>
    </font>
    <font>
      <b/>
      <sz val="28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rgb="FFF6FE8A"/>
        <bgColor indexed="64"/>
      </patternFill>
    </fill>
    <fill>
      <patternFill patternType="solid">
        <fgColor rgb="FFCCEC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1" fillId="0" borderId="0"/>
    <xf numFmtId="0" fontId="1" fillId="0" borderId="0"/>
  </cellStyleXfs>
  <cellXfs count="144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2" borderId="0" xfId="0" applyFont="1" applyFill="1" applyAlignment="1">
      <alignment vertical="center"/>
    </xf>
    <xf numFmtId="0" fontId="2" fillId="3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2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8" fillId="2" borderId="0" xfId="0" applyFont="1" applyFill="1"/>
    <xf numFmtId="0" fontId="10" fillId="0" borderId="0" xfId="0" applyFont="1"/>
    <xf numFmtId="0" fontId="9" fillId="2" borderId="0" xfId="0" applyFont="1" applyFill="1"/>
    <xf numFmtId="164" fontId="9" fillId="3" borderId="0" xfId="0" applyNumberFormat="1" applyFont="1" applyFill="1" applyAlignment="1">
      <alignment horizontal="center"/>
    </xf>
    <xf numFmtId="0" fontId="12" fillId="0" borderId="0" xfId="0" applyFont="1"/>
    <xf numFmtId="0" fontId="3" fillId="4" borderId="1" xfId="0" applyFont="1" applyFill="1" applyBorder="1" applyAlignment="1">
      <alignment horizontal="center" vertical="center" textRotation="90" wrapText="1"/>
    </xf>
    <xf numFmtId="0" fontId="3" fillId="4" borderId="1" xfId="0" applyFont="1" applyFill="1" applyBorder="1" applyAlignment="1">
      <alignment horizontal="center" textRotation="90" wrapText="1"/>
    </xf>
    <xf numFmtId="0" fontId="5" fillId="0" borderId="0" xfId="0" applyFont="1"/>
    <xf numFmtId="0" fontId="3" fillId="4" borderId="7" xfId="0" applyFont="1" applyFill="1" applyBorder="1" applyAlignment="1">
      <alignment horizontal="center" textRotation="90" wrapText="1"/>
    </xf>
    <xf numFmtId="0" fontId="3" fillId="4" borderId="4" xfId="0" applyFont="1" applyFill="1" applyBorder="1" applyAlignment="1">
      <alignment horizontal="center" textRotation="90" wrapText="1"/>
    </xf>
    <xf numFmtId="0" fontId="5" fillId="2" borderId="0" xfId="0" applyFont="1" applyFill="1"/>
    <xf numFmtId="0" fontId="18" fillId="2" borderId="0" xfId="0" applyFont="1" applyFill="1"/>
    <xf numFmtId="0" fontId="18" fillId="3" borderId="0" xfId="0" applyFont="1" applyFill="1"/>
    <xf numFmtId="172" fontId="11" fillId="2" borderId="0" xfId="0" applyNumberFormat="1" applyFont="1" applyFill="1" applyAlignment="1">
      <alignment horizontal="left" vertical="center"/>
    </xf>
    <xf numFmtId="172" fontId="9" fillId="2" borderId="0" xfId="0" applyNumberFormat="1" applyFont="1" applyFill="1" applyAlignment="1">
      <alignment horizontal="center" vertical="center"/>
    </xf>
    <xf numFmtId="0" fontId="4" fillId="2" borderId="0" xfId="0" applyFont="1" applyFill="1"/>
    <xf numFmtId="0" fontId="11" fillId="2" borderId="0" xfId="0" applyFont="1" applyFill="1"/>
    <xf numFmtId="171" fontId="11" fillId="2" borderId="0" xfId="0" applyNumberFormat="1" applyFont="1" applyFill="1"/>
    <xf numFmtId="164" fontId="11" fillId="2" borderId="0" xfId="0" applyNumberFormat="1" applyFont="1" applyFill="1"/>
    <xf numFmtId="164" fontId="11" fillId="3" borderId="0" xfId="0" applyNumberFormat="1" applyFont="1" applyFill="1"/>
    <xf numFmtId="0" fontId="11" fillId="3" borderId="0" xfId="0" applyFont="1" applyFill="1"/>
    <xf numFmtId="9" fontId="11" fillId="2" borderId="0" xfId="1" applyFont="1" applyFill="1" applyAlignment="1">
      <alignment horizontal="left" vertical="center"/>
    </xf>
    <xf numFmtId="0" fontId="11" fillId="3" borderId="0" xfId="0" applyFont="1" applyFill="1" applyAlignment="1">
      <alignment horizontal="center"/>
    </xf>
    <xf numFmtId="0" fontId="11" fillId="3" borderId="0" xfId="0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173" fontId="11" fillId="2" borderId="0" xfId="0" applyNumberFormat="1" applyFont="1" applyFill="1"/>
    <xf numFmtId="174" fontId="11" fillId="3" borderId="0" xfId="0" applyNumberFormat="1" applyFont="1" applyFill="1" applyAlignment="1">
      <alignment horizontal="center"/>
    </xf>
    <xf numFmtId="165" fontId="11" fillId="3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center"/>
    </xf>
    <xf numFmtId="175" fontId="5" fillId="2" borderId="0" xfId="0" applyNumberFormat="1" applyFont="1" applyFill="1"/>
    <xf numFmtId="0" fontId="5" fillId="3" borderId="0" xfId="0" applyFont="1" applyFill="1"/>
    <xf numFmtId="0" fontId="5" fillId="2" borderId="0" xfId="0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9" fillId="3" borderId="0" xfId="0" applyFont="1" applyFill="1"/>
    <xf numFmtId="176" fontId="5" fillId="2" borderId="0" xfId="0" applyNumberFormat="1" applyFont="1" applyFill="1"/>
    <xf numFmtId="174" fontId="5" fillId="2" borderId="0" xfId="0" applyNumberFormat="1" applyFont="1" applyFill="1"/>
    <xf numFmtId="168" fontId="5" fillId="2" borderId="0" xfId="0" applyNumberFormat="1" applyFont="1" applyFill="1"/>
    <xf numFmtId="174" fontId="5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center"/>
    </xf>
    <xf numFmtId="171" fontId="5" fillId="2" borderId="0" xfId="0" applyNumberFormat="1" applyFont="1" applyFill="1"/>
    <xf numFmtId="165" fontId="5" fillId="2" borderId="0" xfId="0" applyNumberFormat="1" applyFont="1" applyFill="1"/>
    <xf numFmtId="177" fontId="9" fillId="3" borderId="0" xfId="0" applyNumberFormat="1" applyFont="1" applyFill="1"/>
    <xf numFmtId="164" fontId="5" fillId="3" borderId="0" xfId="0" applyNumberFormat="1" applyFont="1" applyFill="1"/>
    <xf numFmtId="164" fontId="5" fillId="2" borderId="0" xfId="0" applyNumberFormat="1" applyFont="1" applyFill="1"/>
    <xf numFmtId="164" fontId="5" fillId="2" borderId="0" xfId="0" applyNumberFormat="1" applyFont="1" applyFill="1" applyAlignment="1">
      <alignment horizontal="left"/>
    </xf>
    <xf numFmtId="2" fontId="5" fillId="2" borderId="0" xfId="0" applyNumberFormat="1" applyFont="1" applyFill="1"/>
    <xf numFmtId="0" fontId="5" fillId="2" borderId="12" xfId="0" applyFont="1" applyFill="1" applyBorder="1" applyAlignment="1">
      <alignment vertical="center"/>
    </xf>
    <xf numFmtId="0" fontId="5" fillId="2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vertical="center"/>
    </xf>
    <xf numFmtId="1" fontId="9" fillId="2" borderId="12" xfId="0" applyNumberFormat="1" applyFont="1" applyFill="1" applyBorder="1" applyAlignment="1">
      <alignment horizontal="center"/>
    </xf>
    <xf numFmtId="2" fontId="5" fillId="2" borderId="12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9" fontId="9" fillId="5" borderId="1" xfId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8" fontId="9" fillId="5" borderId="1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167" fontId="9" fillId="5" borderId="1" xfId="0" applyNumberFormat="1" applyFont="1" applyFill="1" applyBorder="1" applyAlignment="1">
      <alignment horizontal="center" vertical="center"/>
    </xf>
    <xf numFmtId="165" fontId="9" fillId="6" borderId="1" xfId="0" applyNumberFormat="1" applyFont="1" applyFill="1" applyBorder="1" applyAlignment="1">
      <alignment horizontal="center" vertical="center"/>
    </xf>
    <xf numFmtId="170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74" fontId="9" fillId="5" borderId="1" xfId="0" applyNumberFormat="1" applyFont="1" applyFill="1" applyBorder="1" applyAlignment="1">
      <alignment horizontal="center" vertical="center"/>
    </xf>
    <xf numFmtId="168" fontId="5" fillId="5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2" fontId="6" fillId="0" borderId="14" xfId="0" applyNumberFormat="1" applyFont="1" applyBorder="1" applyAlignment="1">
      <alignment horizontal="center" vertical="center"/>
    </xf>
    <xf numFmtId="174" fontId="6" fillId="0" borderId="14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167" fontId="6" fillId="0" borderId="6" xfId="0" applyNumberFormat="1" applyFont="1" applyBorder="1" applyAlignment="1">
      <alignment horizontal="center" vertical="center"/>
    </xf>
    <xf numFmtId="170" fontId="6" fillId="0" borderId="14" xfId="0" applyNumberFormat="1" applyFont="1" applyBorder="1" applyAlignment="1">
      <alignment horizontal="center" vertical="center"/>
    </xf>
    <xf numFmtId="166" fontId="6" fillId="0" borderId="10" xfId="0" applyNumberFormat="1" applyFont="1" applyBorder="1" applyAlignment="1">
      <alignment horizontal="center" vertical="center"/>
    </xf>
    <xf numFmtId="169" fontId="6" fillId="0" borderId="14" xfId="0" applyNumberFormat="1" applyFont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9" fontId="9" fillId="7" borderId="1" xfId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2" fontId="9" fillId="7" borderId="1" xfId="0" applyNumberFormat="1" applyFont="1" applyFill="1" applyBorder="1" applyAlignment="1">
      <alignment horizontal="center" vertical="center"/>
    </xf>
    <xf numFmtId="168" fontId="9" fillId="7" borderId="1" xfId="0" applyNumberFormat="1" applyFont="1" applyFill="1" applyBorder="1" applyAlignment="1">
      <alignment horizontal="center" vertical="center"/>
    </xf>
    <xf numFmtId="168" fontId="9" fillId="7" borderId="10" xfId="0" applyNumberFormat="1" applyFont="1" applyFill="1" applyBorder="1" applyAlignment="1">
      <alignment horizontal="center" vertical="center"/>
    </xf>
    <xf numFmtId="9" fontId="3" fillId="7" borderId="1" xfId="1" applyFont="1" applyFill="1" applyBorder="1" applyAlignment="1">
      <alignment horizontal="center" vertical="center"/>
    </xf>
    <xf numFmtId="167" fontId="9" fillId="7" borderId="1" xfId="0" applyNumberFormat="1" applyFont="1" applyFill="1" applyBorder="1" applyAlignment="1">
      <alignment horizontal="center" vertical="center"/>
    </xf>
    <xf numFmtId="170" fontId="9" fillId="7" borderId="1" xfId="0" applyNumberFormat="1" applyFont="1" applyFill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74" fontId="9" fillId="7" borderId="1" xfId="0" applyNumberFormat="1" applyFont="1" applyFill="1" applyBorder="1" applyAlignment="1">
      <alignment horizontal="center" vertical="center"/>
    </xf>
    <xf numFmtId="168" fontId="5" fillId="7" borderId="10" xfId="0" applyNumberFormat="1" applyFont="1" applyFill="1" applyBorder="1" applyAlignment="1">
      <alignment horizontal="left" vertical="center"/>
    </xf>
    <xf numFmtId="164" fontId="6" fillId="0" borderId="6" xfId="0" applyNumberFormat="1" applyFont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9" fontId="13" fillId="0" borderId="14" xfId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164" fontId="6" fillId="0" borderId="15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textRotation="90" wrapText="1"/>
    </xf>
    <xf numFmtId="0" fontId="4" fillId="3" borderId="0" xfId="0" applyFont="1" applyFill="1" applyAlignment="1">
      <alignment horizontal="centerContinuous" vertical="center"/>
    </xf>
    <xf numFmtId="0" fontId="4" fillId="2" borderId="0" xfId="0" applyFont="1" applyFill="1" applyAlignment="1">
      <alignment horizontal="centerContinuous" vertical="center"/>
    </xf>
    <xf numFmtId="0" fontId="2" fillId="3" borderId="0" xfId="0" applyFont="1" applyFill="1" applyAlignment="1">
      <alignment horizontal="centerContinuous" vertical="center"/>
    </xf>
    <xf numFmtId="2" fontId="4" fillId="2" borderId="0" xfId="0" applyNumberFormat="1" applyFont="1" applyFill="1" applyAlignment="1">
      <alignment horizontal="centerContinuous" vertical="center"/>
    </xf>
    <xf numFmtId="0" fontId="21" fillId="3" borderId="0" xfId="0" applyFont="1" applyFill="1" applyAlignment="1">
      <alignment horizontal="centerContinuous" vertical="center"/>
    </xf>
    <xf numFmtId="0" fontId="19" fillId="2" borderId="0" xfId="0" applyFont="1" applyFill="1" applyAlignment="1">
      <alignment horizontal="center"/>
    </xf>
    <xf numFmtId="0" fontId="11" fillId="4" borderId="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textRotation="90" wrapText="1"/>
    </xf>
    <xf numFmtId="0" fontId="3" fillId="4" borderId="8" xfId="0" applyFont="1" applyFill="1" applyBorder="1" applyAlignment="1">
      <alignment horizontal="center" textRotation="90" wrapText="1"/>
    </xf>
    <xf numFmtId="0" fontId="3" fillId="4" borderId="9" xfId="0" applyFont="1" applyFill="1" applyBorder="1" applyAlignment="1">
      <alignment horizontal="center" textRotation="90" wrapText="1"/>
    </xf>
    <xf numFmtId="180" fontId="3" fillId="4" borderId="1" xfId="0" applyNumberFormat="1" applyFont="1" applyFill="1" applyBorder="1" applyAlignment="1">
      <alignment horizontal="center" vertical="center"/>
    </xf>
    <xf numFmtId="180" fontId="3" fillId="4" borderId="4" xfId="0" applyNumberFormat="1" applyFont="1" applyFill="1" applyBorder="1" applyAlignment="1">
      <alignment horizontal="center" vertical="center"/>
    </xf>
    <xf numFmtId="180" fontId="3" fillId="4" borderId="3" xfId="0" applyNumberFormat="1" applyFont="1" applyFill="1" applyBorder="1" applyAlignment="1">
      <alignment horizontal="center" vertical="center"/>
    </xf>
    <xf numFmtId="180" fontId="3" fillId="4" borderId="2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3" fillId="4" borderId="10" xfId="0" applyNumberFormat="1" applyFont="1" applyFill="1" applyBorder="1" applyAlignment="1">
      <alignment horizontal="center" textRotation="90" wrapText="1"/>
    </xf>
    <xf numFmtId="2" fontId="3" fillId="4" borderId="7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center" textRotation="90" wrapText="1"/>
    </xf>
    <xf numFmtId="0" fontId="9" fillId="2" borderId="0" xfId="0" applyFont="1" applyFill="1" applyAlignment="1">
      <alignment horizontal="right" vertical="center"/>
    </xf>
    <xf numFmtId="172" fontId="9" fillId="2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horizontal="right"/>
    </xf>
    <xf numFmtId="0" fontId="20" fillId="2" borderId="0" xfId="0" applyFont="1" applyFill="1" applyAlignment="1">
      <alignment horizontal="right" vertical="center"/>
    </xf>
    <xf numFmtId="181" fontId="3" fillId="4" borderId="4" xfId="0" applyNumberFormat="1" applyFont="1" applyFill="1" applyBorder="1" applyAlignment="1">
      <alignment horizontal="center" vertical="center"/>
    </xf>
    <xf numFmtId="181" fontId="3" fillId="4" borderId="3" xfId="0" applyNumberFormat="1" applyFont="1" applyFill="1" applyBorder="1" applyAlignment="1">
      <alignment horizontal="center" vertical="center"/>
    </xf>
    <xf numFmtId="181" fontId="3" fillId="4" borderId="2" xfId="0" applyNumberFormat="1" applyFont="1" applyFill="1" applyBorder="1" applyAlignment="1">
      <alignment horizontal="center" vertical="center"/>
    </xf>
    <xf numFmtId="179" fontId="21" fillId="3" borderId="5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/>
    </xf>
    <xf numFmtId="0" fontId="3" fillId="4" borderId="10" xfId="0" applyFont="1" applyFill="1" applyBorder="1" applyAlignment="1">
      <alignment horizontal="center" textRotation="90" wrapText="1"/>
    </xf>
    <xf numFmtId="0" fontId="3" fillId="4" borderId="7" xfId="0" applyFont="1" applyFill="1" applyBorder="1" applyAlignment="1">
      <alignment horizontal="center" textRotation="90" wrapText="1"/>
    </xf>
    <xf numFmtId="0" fontId="3" fillId="4" borderId="13" xfId="0" applyFont="1" applyFill="1" applyBorder="1" applyAlignment="1">
      <alignment horizontal="center" textRotation="90" wrapText="1"/>
    </xf>
    <xf numFmtId="182" fontId="9" fillId="3" borderId="0" xfId="0" applyNumberFormat="1" applyFont="1" applyFill="1" applyAlignment="1">
      <alignment horizontal="right"/>
    </xf>
    <xf numFmtId="184" fontId="9" fillId="3" borderId="0" xfId="0" applyNumberFormat="1" applyFont="1" applyFill="1" applyAlignment="1">
      <alignment horizontal="right"/>
    </xf>
    <xf numFmtId="185" fontId="9" fillId="3" borderId="0" xfId="0" applyNumberFormat="1" applyFont="1" applyFill="1" applyAlignment="1">
      <alignment horizontal="right"/>
    </xf>
    <xf numFmtId="186" fontId="9" fillId="2" borderId="12" xfId="0" applyNumberFormat="1" applyFont="1" applyFill="1" applyBorder="1" applyAlignment="1">
      <alignment horizontal="right"/>
    </xf>
  </cellXfs>
  <cellStyles count="4">
    <cellStyle name="Обычный" xfId="0" builtinId="0"/>
    <cellStyle name="Обычный 2" xfId="3" xr:uid="{2975BF2C-12E8-4E9D-A470-4200ABAE2118}"/>
    <cellStyle name="Обычный 8" xfId="2" xr:uid="{79850054-5C6C-46DD-9F49-4039454AAE74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347F-EED3-4BD9-A2FE-CDBDBD09B288}">
  <sheetPr>
    <pageSetUpPr fitToPage="1"/>
  </sheetPr>
  <dimension ref="A1:AK31"/>
  <sheetViews>
    <sheetView showGridLines="0" tabSelected="1" topLeftCell="A3" zoomScale="40" zoomScaleNormal="40" zoomScaleSheetLayoutView="40" zoomScalePageLayoutView="25" workbookViewId="0">
      <pane xSplit="1" ySplit="4" topLeftCell="B9" activePane="bottomRight" state="frozen"/>
      <selection pane="topRight"/>
      <selection pane="bottomLeft"/>
      <selection pane="bottomRight" activeCell="AD19" sqref="AD19"/>
    </sheetView>
  </sheetViews>
  <sheetFormatPr defaultColWidth="9.109375" defaultRowHeight="13.2" outlineLevelCol="1"/>
  <cols>
    <col min="1" max="1" width="52.33203125" style="2" customWidth="1"/>
    <col min="2" max="2" width="16.33203125" style="1" customWidth="1"/>
    <col min="3" max="3" width="19.88671875" style="8" customWidth="1"/>
    <col min="4" max="4" width="13.33203125" style="7" customWidth="1"/>
    <col min="5" max="5" width="19.33203125" style="4" customWidth="1" outlineLevel="1"/>
    <col min="6" max="6" width="15.6640625" style="4" customWidth="1" outlineLevel="1"/>
    <col min="7" max="7" width="17" style="4" customWidth="1" outlineLevel="1"/>
    <col min="8" max="8" width="15.5546875" style="4" customWidth="1" outlineLevel="1"/>
    <col min="9" max="9" width="15" style="4" customWidth="1"/>
    <col min="10" max="10" width="12.5546875" style="4" customWidth="1"/>
    <col min="11" max="11" width="16.6640625" style="4" customWidth="1" outlineLevel="1"/>
    <col min="12" max="12" width="12.88671875" style="4" customWidth="1"/>
    <col min="13" max="13" width="13.44140625" style="4" customWidth="1"/>
    <col min="14" max="14" width="14.33203125" style="4" customWidth="1" outlineLevel="1"/>
    <col min="15" max="15" width="15.88671875" style="4" customWidth="1"/>
    <col min="16" max="16" width="11" style="4" customWidth="1"/>
    <col min="17" max="17" width="10.5546875" style="4" customWidth="1"/>
    <col min="18" max="19" width="16.5546875" style="4" customWidth="1"/>
    <col min="20" max="20" width="25" style="4" customWidth="1"/>
    <col min="21" max="21" width="20.44140625" style="4" customWidth="1"/>
    <col min="22" max="22" width="17.88671875" style="4" customWidth="1"/>
    <col min="23" max="23" width="16.33203125" style="6" customWidth="1"/>
    <col min="24" max="24" width="20.109375" style="1" customWidth="1"/>
    <col min="25" max="25" width="15.6640625" style="1" customWidth="1"/>
    <col min="26" max="26" width="12.33203125" style="5" customWidth="1"/>
    <col min="27" max="27" width="17.88671875" style="4" customWidth="1" outlineLevel="1"/>
    <col min="28" max="28" width="16.5546875" style="1" customWidth="1" outlineLevel="1"/>
    <col min="29" max="29" width="14.109375" style="1" customWidth="1"/>
    <col min="30" max="30" width="13.109375" style="1" customWidth="1"/>
    <col min="31" max="31" width="13.33203125" style="1" customWidth="1"/>
    <col min="32" max="32" width="16.33203125" style="1" customWidth="1"/>
    <col min="33" max="33" width="17.5546875" style="1" customWidth="1"/>
    <col min="34" max="34" width="15.6640625" style="1" customWidth="1"/>
    <col min="35" max="35" width="20.109375" style="1" customWidth="1"/>
    <col min="36" max="36" width="16.44140625" style="1" customWidth="1"/>
    <col min="37" max="37" width="17.33203125" style="1" customWidth="1"/>
    <col min="38" max="16384" width="9.109375" style="1"/>
  </cols>
  <sheetData>
    <row r="1" spans="1:37" ht="12.75" hidden="1" customHeight="1"/>
    <row r="2" spans="1:37" ht="15.75" hidden="1" customHeight="1">
      <c r="A2" s="113" t="s">
        <v>50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</row>
    <row r="3" spans="1:37" ht="52.5" customHeight="1">
      <c r="A3" s="112" t="s">
        <v>49</v>
      </c>
      <c r="B3" s="109"/>
      <c r="C3" s="111"/>
      <c r="D3" s="109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10"/>
      <c r="T3" s="108"/>
      <c r="U3" s="108"/>
      <c r="V3" s="108"/>
      <c r="W3" s="108"/>
      <c r="X3" s="109"/>
      <c r="Y3" s="109"/>
      <c r="Z3" s="109"/>
      <c r="AA3" s="108"/>
      <c r="AB3" s="109"/>
      <c r="AC3" s="109"/>
      <c r="AD3" s="109"/>
      <c r="AE3" s="109"/>
      <c r="AF3" s="109"/>
      <c r="AG3" s="109"/>
      <c r="AH3" s="135">
        <v>46094</v>
      </c>
      <c r="AI3" s="135"/>
      <c r="AJ3" s="135"/>
      <c r="AK3" s="135"/>
    </row>
    <row r="4" spans="1:37" s="10" customFormat="1" ht="33" customHeight="1">
      <c r="A4" s="114" t="s">
        <v>37</v>
      </c>
      <c r="B4" s="115" t="s">
        <v>36</v>
      </c>
      <c r="C4" s="118">
        <f>$AH$3</f>
        <v>46094</v>
      </c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  <c r="Z4" s="119">
        <f>DATE(YEAR($AH$3)-1,MONTH($AH$3),DAY($AH$3))</f>
        <v>45729</v>
      </c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1"/>
    </row>
    <row r="5" spans="1:37" s="10" customFormat="1" ht="49.5" customHeight="1">
      <c r="A5" s="114"/>
      <c r="B5" s="116"/>
      <c r="C5" s="125" t="str">
        <f>"Режа (Январь-"&amp;PROPER(TEXT($AH$3,"ММММ"))&amp;")"</f>
        <v>Режа (Январь-Март)</v>
      </c>
      <c r="D5" s="132">
        <f>$AH$3 - 1</f>
        <v>46093</v>
      </c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4"/>
      <c r="V5" s="127" t="s">
        <v>35</v>
      </c>
      <c r="W5" s="127" t="s">
        <v>34</v>
      </c>
      <c r="X5" s="122" t="s">
        <v>33</v>
      </c>
      <c r="Y5" s="123"/>
      <c r="Z5" s="132">
        <f>$AH$3 - 1</f>
        <v>46093</v>
      </c>
      <c r="AA5" s="133"/>
      <c r="AB5" s="133"/>
      <c r="AC5" s="133"/>
      <c r="AD5" s="133"/>
      <c r="AE5" s="133"/>
      <c r="AF5" s="133"/>
      <c r="AG5" s="133"/>
      <c r="AH5" s="137" t="s">
        <v>32</v>
      </c>
      <c r="AI5" s="139" t="s">
        <v>31</v>
      </c>
      <c r="AJ5" s="124" t="s">
        <v>30</v>
      </c>
      <c r="AK5" s="124"/>
    </row>
    <row r="6" spans="1:37" s="10" customFormat="1" ht="369.9" customHeight="1">
      <c r="A6" s="114"/>
      <c r="B6" s="117"/>
      <c r="C6" s="126"/>
      <c r="D6" s="16" t="s">
        <v>13</v>
      </c>
      <c r="E6" s="16" t="s">
        <v>12</v>
      </c>
      <c r="F6" s="107" t="s">
        <v>29</v>
      </c>
      <c r="G6" s="16" t="s">
        <v>28</v>
      </c>
      <c r="H6" s="107" t="s">
        <v>27</v>
      </c>
      <c r="I6" s="16" t="s">
        <v>26</v>
      </c>
      <c r="J6" s="16" t="s">
        <v>25</v>
      </c>
      <c r="K6" s="16" t="s">
        <v>48</v>
      </c>
      <c r="L6" s="16" t="s">
        <v>24</v>
      </c>
      <c r="M6" s="16" t="s">
        <v>23</v>
      </c>
      <c r="N6" s="16" t="s">
        <v>47</v>
      </c>
      <c r="O6" s="16" t="s">
        <v>22</v>
      </c>
      <c r="P6" s="16" t="s">
        <v>21</v>
      </c>
      <c r="Q6" s="16" t="s">
        <v>20</v>
      </c>
      <c r="R6" s="16" t="s">
        <v>19</v>
      </c>
      <c r="S6" s="19" t="s">
        <v>18</v>
      </c>
      <c r="T6" s="19" t="s">
        <v>17</v>
      </c>
      <c r="U6" s="19" t="s">
        <v>16</v>
      </c>
      <c r="V6" s="127"/>
      <c r="W6" s="127"/>
      <c r="X6" s="15" t="s">
        <v>15</v>
      </c>
      <c r="Y6" s="15" t="s">
        <v>14</v>
      </c>
      <c r="Z6" s="18" t="s">
        <v>13</v>
      </c>
      <c r="AA6" s="18" t="s">
        <v>12</v>
      </c>
      <c r="AB6" s="18" t="s">
        <v>11</v>
      </c>
      <c r="AC6" s="18" t="s">
        <v>10</v>
      </c>
      <c r="AD6" s="18" t="s">
        <v>9</v>
      </c>
      <c r="AE6" s="18" t="s">
        <v>8</v>
      </c>
      <c r="AF6" s="18" t="s">
        <v>7</v>
      </c>
      <c r="AG6" s="18" t="s">
        <v>6</v>
      </c>
      <c r="AH6" s="138"/>
      <c r="AI6" s="138"/>
      <c r="AJ6" s="18" t="s">
        <v>5</v>
      </c>
      <c r="AK6" s="18" t="s">
        <v>4</v>
      </c>
    </row>
    <row r="7" spans="1:37" s="11" customFormat="1" ht="54" customHeight="1">
      <c r="A7" s="76"/>
      <c r="B7" s="95"/>
      <c r="C7" s="87"/>
      <c r="D7" s="98"/>
      <c r="E7" s="90"/>
      <c r="F7" s="90"/>
      <c r="G7" s="96"/>
      <c r="H7" s="96"/>
      <c r="I7" s="97"/>
      <c r="J7" s="96"/>
      <c r="K7" s="96"/>
      <c r="L7" s="96"/>
      <c r="M7" s="96"/>
      <c r="N7" s="96"/>
      <c r="O7" s="89"/>
      <c r="P7" s="95"/>
      <c r="Q7" s="95"/>
      <c r="R7" s="85"/>
      <c r="S7" s="94"/>
      <c r="T7" s="71"/>
      <c r="U7" s="93"/>
      <c r="V7" s="89"/>
      <c r="W7" s="88"/>
      <c r="X7" s="92"/>
      <c r="Y7" s="85"/>
      <c r="Z7" s="91"/>
      <c r="AA7" s="90"/>
      <c r="AB7" s="85"/>
      <c r="AC7" s="85"/>
      <c r="AD7" s="85"/>
      <c r="AE7" s="85"/>
      <c r="AF7" s="87"/>
      <c r="AG7" s="89"/>
      <c r="AH7" s="88"/>
      <c r="AI7" s="87"/>
      <c r="AJ7" s="86"/>
      <c r="AK7" s="85"/>
    </row>
    <row r="8" spans="1:37" s="14" customFormat="1" ht="30.75" customHeight="1">
      <c r="A8" s="104"/>
      <c r="B8" s="79"/>
      <c r="C8" s="105"/>
      <c r="D8" s="83"/>
      <c r="E8" s="77"/>
      <c r="F8" s="84"/>
      <c r="G8" s="79"/>
      <c r="H8" s="82"/>
      <c r="I8" s="99"/>
      <c r="J8" s="101"/>
      <c r="K8" s="82"/>
      <c r="L8" s="101"/>
      <c r="M8" s="101"/>
      <c r="N8" s="82"/>
      <c r="O8" s="80"/>
      <c r="P8" s="103"/>
      <c r="Q8" s="103"/>
      <c r="R8" s="79"/>
      <c r="S8" s="82"/>
      <c r="T8" s="100"/>
      <c r="U8" s="81"/>
      <c r="V8" s="77"/>
      <c r="W8" s="77"/>
      <c r="X8" s="102"/>
      <c r="Y8" s="105"/>
      <c r="Z8" s="83"/>
      <c r="AA8" s="78"/>
      <c r="AB8" s="79"/>
      <c r="AC8" s="79"/>
      <c r="AD8" s="101"/>
      <c r="AE8" s="101"/>
      <c r="AF8" s="79"/>
      <c r="AG8" s="77"/>
      <c r="AH8" s="77"/>
      <c r="AI8" s="79"/>
      <c r="AJ8" s="106"/>
      <c r="AK8" s="106"/>
    </row>
    <row r="9" spans="1:37" s="11" customFormat="1" ht="54" customHeight="1">
      <c r="A9" s="76" t="s">
        <v>46</v>
      </c>
      <c r="B9" s="68"/>
      <c r="C9" s="62"/>
      <c r="D9" s="75"/>
      <c r="E9" s="67"/>
      <c r="F9" s="67"/>
      <c r="G9" s="73"/>
      <c r="H9" s="73"/>
      <c r="I9" s="74"/>
      <c r="J9" s="73"/>
      <c r="K9" s="73"/>
      <c r="L9" s="73"/>
      <c r="M9" s="73"/>
      <c r="N9" s="73"/>
      <c r="O9" s="65"/>
      <c r="P9" s="68"/>
      <c r="Q9" s="68"/>
      <c r="R9" s="62"/>
      <c r="S9" s="72"/>
      <c r="T9" s="71"/>
      <c r="U9" s="70"/>
      <c r="V9" s="65"/>
      <c r="W9" s="65"/>
      <c r="X9" s="69"/>
      <c r="Y9" s="68"/>
      <c r="Z9" s="67"/>
      <c r="AA9" s="67"/>
      <c r="AB9" s="62"/>
      <c r="AC9" s="62"/>
      <c r="AD9" s="62"/>
      <c r="AE9" s="62"/>
      <c r="AF9" s="66"/>
      <c r="AG9" s="65"/>
      <c r="AH9" s="64"/>
      <c r="AI9" s="64"/>
      <c r="AJ9" s="63"/>
      <c r="AK9" s="62"/>
    </row>
    <row r="10" spans="1:37" ht="37.5" customHeight="1">
      <c r="A10" s="17"/>
      <c r="B10" s="20"/>
      <c r="C10" s="61"/>
      <c r="D10" s="57"/>
      <c r="E10" s="57"/>
      <c r="F10" s="57"/>
      <c r="G10" s="57"/>
      <c r="H10" s="57"/>
      <c r="I10" s="57"/>
      <c r="J10" s="57"/>
      <c r="K10" s="57"/>
      <c r="L10" s="59"/>
      <c r="M10" s="59"/>
      <c r="N10" s="59"/>
      <c r="O10" s="143">
        <f>$AH$3</f>
        <v>46094</v>
      </c>
      <c r="P10" s="143"/>
      <c r="Q10" s="143"/>
      <c r="R10" s="143"/>
      <c r="S10" s="143"/>
      <c r="T10" s="60">
        <v>0</v>
      </c>
      <c r="U10" s="12" t="s">
        <v>2</v>
      </c>
      <c r="V10" s="59"/>
      <c r="W10" s="47"/>
      <c r="X10" s="20"/>
      <c r="Y10" s="20"/>
      <c r="Z10" s="58"/>
      <c r="AA10" s="57"/>
      <c r="AB10" s="56"/>
      <c r="AC10" s="56"/>
      <c r="AD10" s="20"/>
      <c r="AE10" s="20"/>
      <c r="AF10" s="54"/>
      <c r="AG10" s="54"/>
      <c r="AH10" s="54"/>
      <c r="AI10" s="54"/>
      <c r="AJ10" s="54"/>
      <c r="AK10" s="20"/>
    </row>
    <row r="11" spans="1:37" ht="30" customHeight="1">
      <c r="A11" s="17"/>
      <c r="B11" s="20"/>
      <c r="C11" s="49"/>
      <c r="D11" s="55"/>
      <c r="E11" s="53"/>
      <c r="F11" s="53"/>
      <c r="G11" s="40"/>
      <c r="H11" s="40"/>
      <c r="I11" s="40"/>
      <c r="J11" s="53"/>
      <c r="K11" s="40"/>
      <c r="L11" s="141">
        <f>$AH$3</f>
        <v>46094</v>
      </c>
      <c r="M11" s="141"/>
      <c r="N11" s="141"/>
      <c r="O11" s="141"/>
      <c r="P11" s="141"/>
      <c r="Q11" s="141"/>
      <c r="R11" s="141"/>
      <c r="S11" s="141"/>
      <c r="T11" s="13">
        <v>0</v>
      </c>
      <c r="U11" s="12" t="s">
        <v>2</v>
      </c>
      <c r="V11" s="43"/>
      <c r="W11" s="140"/>
      <c r="X11" s="140"/>
      <c r="Y11" s="140"/>
      <c r="Z11" s="140"/>
      <c r="AA11" s="140"/>
      <c r="AB11" s="140"/>
      <c r="AC11" s="140"/>
      <c r="AD11" s="140"/>
      <c r="AE11" s="20"/>
      <c r="AF11" s="20"/>
      <c r="AG11" s="20"/>
      <c r="AH11" s="39"/>
      <c r="AI11" s="39"/>
      <c r="AJ11" s="20"/>
      <c r="AK11" s="20"/>
    </row>
    <row r="12" spans="1:37" ht="30" customHeight="1">
      <c r="A12" s="17"/>
      <c r="B12" s="25"/>
      <c r="C12" s="49"/>
      <c r="D12" s="48"/>
      <c r="E12" s="40"/>
      <c r="F12" s="40"/>
      <c r="G12" s="40"/>
      <c r="H12" s="40"/>
      <c r="I12" s="40"/>
      <c r="J12" s="40"/>
      <c r="K12" s="40"/>
      <c r="L12" s="142">
        <f>$AH$3</f>
        <v>46094</v>
      </c>
      <c r="M12" s="142"/>
      <c r="N12" s="142"/>
      <c r="O12" s="142"/>
      <c r="P12" s="142"/>
      <c r="Q12" s="142"/>
      <c r="R12" s="142"/>
      <c r="S12" s="142"/>
      <c r="T12" s="13">
        <v>0</v>
      </c>
      <c r="U12" s="12" t="s">
        <v>2</v>
      </c>
      <c r="V12" s="52"/>
      <c r="W12" s="47"/>
      <c r="X12" s="20"/>
      <c r="Y12" s="20"/>
      <c r="Z12" s="41"/>
      <c r="AA12" s="40"/>
      <c r="AB12" s="51"/>
      <c r="AC12" s="41"/>
      <c r="AD12" s="20"/>
      <c r="AE12" s="50"/>
      <c r="AF12" s="20"/>
      <c r="AG12" s="20"/>
      <c r="AH12" s="20"/>
      <c r="AI12" s="20"/>
      <c r="AJ12" s="20"/>
      <c r="AK12" s="20"/>
    </row>
    <row r="13" spans="1:37" ht="30" customHeight="1">
      <c r="A13" s="17"/>
      <c r="B13" s="20"/>
      <c r="C13" s="49"/>
      <c r="D13" s="48"/>
      <c r="E13" s="40"/>
      <c r="F13" s="40"/>
      <c r="G13" s="40"/>
      <c r="H13" s="40"/>
      <c r="I13" s="40"/>
      <c r="J13" s="40"/>
      <c r="K13" s="40"/>
      <c r="L13" s="130" t="s">
        <v>3</v>
      </c>
      <c r="M13" s="130"/>
      <c r="N13" s="130"/>
      <c r="O13" s="130"/>
      <c r="P13" s="130"/>
      <c r="Q13" s="130"/>
      <c r="R13" s="130"/>
      <c r="S13" s="130"/>
      <c r="T13" s="13">
        <f>+V9</f>
        <v>0</v>
      </c>
      <c r="U13" s="12" t="s">
        <v>2</v>
      </c>
      <c r="V13" s="43"/>
      <c r="W13" s="47"/>
      <c r="X13" s="20"/>
      <c r="Y13" s="20"/>
      <c r="Z13" s="41"/>
      <c r="AA13" s="40"/>
      <c r="AB13" s="46"/>
      <c r="AC13" s="46"/>
      <c r="AD13" s="20"/>
      <c r="AE13" s="45"/>
      <c r="AF13" s="45"/>
      <c r="AG13" s="39"/>
      <c r="AH13" s="20"/>
      <c r="AI13" s="44"/>
      <c r="AJ13" s="20"/>
      <c r="AK13" s="20"/>
    </row>
    <row r="14" spans="1:37" ht="30" customHeight="1">
      <c r="A14" s="131" t="s">
        <v>45</v>
      </c>
      <c r="B14" s="131"/>
      <c r="C14" s="131"/>
      <c r="D14" s="24" t="s">
        <v>38</v>
      </c>
      <c r="E14" s="129">
        <v>0</v>
      </c>
      <c r="F14" s="129"/>
      <c r="G14" s="40"/>
      <c r="H14" s="40"/>
      <c r="I14" s="40"/>
      <c r="J14" s="40"/>
      <c r="K14" s="40"/>
      <c r="L14" s="130" t="s">
        <v>1</v>
      </c>
      <c r="M14" s="130"/>
      <c r="N14" s="130"/>
      <c r="O14" s="130"/>
      <c r="P14" s="130"/>
      <c r="Q14" s="130"/>
      <c r="R14" s="130"/>
      <c r="S14" s="130"/>
      <c r="T14" s="13">
        <f>IFERROR(T13/T11*100,0)</f>
        <v>0</v>
      </c>
      <c r="U14" s="12" t="s">
        <v>0</v>
      </c>
      <c r="V14" s="43"/>
      <c r="W14" s="42"/>
      <c r="X14" s="20"/>
      <c r="Y14" s="20"/>
      <c r="Z14" s="41"/>
      <c r="AA14" s="40"/>
      <c r="AB14" s="39"/>
      <c r="AC14" s="20"/>
      <c r="AD14" s="20"/>
      <c r="AE14" s="20"/>
      <c r="AF14" s="20"/>
      <c r="AG14" s="20"/>
      <c r="AH14" s="20"/>
      <c r="AI14" s="20"/>
      <c r="AJ14" s="20"/>
      <c r="AK14" s="20"/>
    </row>
    <row r="15" spans="1:37" ht="30" customHeight="1">
      <c r="A15" s="131" t="s">
        <v>44</v>
      </c>
      <c r="B15" s="131"/>
      <c r="C15" s="131"/>
      <c r="D15" s="24" t="s">
        <v>38</v>
      </c>
      <c r="E15" s="129">
        <f>+P9</f>
        <v>0</v>
      </c>
      <c r="F15" s="129"/>
      <c r="G15" s="30" t="s">
        <v>43</v>
      </c>
      <c r="H15" s="30"/>
      <c r="I15" s="30"/>
      <c r="J15" s="29"/>
      <c r="K15" s="30"/>
      <c r="L15" s="30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8"/>
      <c r="X15" s="26"/>
      <c r="Y15" s="26"/>
      <c r="Z15" s="23"/>
      <c r="AA15" s="30"/>
      <c r="AB15" s="26"/>
      <c r="AC15" s="26"/>
      <c r="AD15" s="26"/>
      <c r="AE15" s="26"/>
      <c r="AF15" s="26"/>
      <c r="AG15" s="26"/>
      <c r="AH15" s="26" t="s">
        <v>41</v>
      </c>
      <c r="AI15" s="26"/>
      <c r="AJ15" s="26"/>
      <c r="AK15" s="26"/>
    </row>
    <row r="16" spans="1:37" ht="30" customHeight="1">
      <c r="A16" s="128" t="s">
        <v>20</v>
      </c>
      <c r="B16" s="128"/>
      <c r="C16" s="128"/>
      <c r="D16" s="24" t="s">
        <v>38</v>
      </c>
      <c r="E16" s="129">
        <f>+Q9</f>
        <v>0</v>
      </c>
      <c r="F16" s="129"/>
      <c r="G16" s="30"/>
      <c r="H16" s="30"/>
      <c r="I16" s="30"/>
      <c r="J16" s="30"/>
      <c r="K16" s="30"/>
      <c r="L16" s="30"/>
      <c r="M16" s="33"/>
      <c r="N16" s="33"/>
      <c r="O16" s="33"/>
      <c r="P16" s="33"/>
      <c r="Q16" s="33"/>
      <c r="R16" s="33"/>
      <c r="S16" s="37"/>
      <c r="T16" s="34"/>
      <c r="U16" s="33"/>
      <c r="V16" s="33"/>
      <c r="W16" s="36"/>
      <c r="X16" s="26"/>
      <c r="Y16" s="26"/>
      <c r="Z16" s="23"/>
      <c r="AA16" s="30"/>
      <c r="AB16" s="26"/>
      <c r="AC16" s="26"/>
      <c r="AD16" s="26"/>
      <c r="AE16" s="26"/>
      <c r="AF16" s="26"/>
      <c r="AG16" s="26"/>
      <c r="AH16" s="26"/>
      <c r="AI16" s="35"/>
      <c r="AJ16" s="26"/>
      <c r="AK16" s="26"/>
    </row>
    <row r="17" spans="1:37" ht="30" customHeight="1">
      <c r="A17" s="128" t="s">
        <v>42</v>
      </c>
      <c r="B17" s="128"/>
      <c r="C17" s="128"/>
      <c r="D17" s="24" t="s">
        <v>38</v>
      </c>
      <c r="E17" s="129">
        <f>+E15-E16-E18-E19</f>
        <v>-18</v>
      </c>
      <c r="F17" s="129"/>
      <c r="G17" s="30"/>
      <c r="H17" s="30"/>
      <c r="I17" s="30"/>
      <c r="J17" s="30"/>
      <c r="K17" s="30"/>
      <c r="L17" s="30"/>
      <c r="M17" s="33"/>
      <c r="N17" s="33"/>
      <c r="O17" s="33"/>
      <c r="P17" s="33" t="s">
        <v>41</v>
      </c>
      <c r="Q17" s="33"/>
      <c r="R17" s="33"/>
      <c r="S17" s="33"/>
      <c r="T17" s="34"/>
      <c r="U17" s="34"/>
      <c r="V17" s="33"/>
      <c r="W17" s="32"/>
      <c r="X17" s="26"/>
      <c r="Y17" s="26"/>
      <c r="Z17" s="31"/>
      <c r="AA17" s="30"/>
      <c r="AB17" s="26"/>
      <c r="AC17" s="26"/>
      <c r="AD17" s="26"/>
      <c r="AE17" s="26"/>
      <c r="AF17" s="26"/>
      <c r="AG17" s="26"/>
      <c r="AH17" s="26"/>
      <c r="AI17" s="26"/>
      <c r="AJ17" s="26"/>
      <c r="AK17" s="26"/>
    </row>
    <row r="18" spans="1:37" ht="30" customHeight="1">
      <c r="A18" s="128" t="s">
        <v>40</v>
      </c>
      <c r="B18" s="128"/>
      <c r="C18" s="128"/>
      <c r="D18" s="24" t="s">
        <v>38</v>
      </c>
      <c r="E18" s="129">
        <v>14</v>
      </c>
      <c r="F18" s="129"/>
      <c r="G18" s="26"/>
      <c r="H18" s="26"/>
      <c r="I18" s="26"/>
      <c r="J18" s="29"/>
      <c r="K18" s="26"/>
      <c r="L18" s="26"/>
      <c r="M18" s="26"/>
      <c r="N18" s="26"/>
      <c r="O18" s="26"/>
      <c r="P18" s="26"/>
      <c r="Q18" s="26"/>
      <c r="R18" s="26"/>
      <c r="S18" s="26"/>
      <c r="T18" s="28"/>
      <c r="U18" s="26"/>
      <c r="V18" s="27"/>
      <c r="W18" s="26"/>
      <c r="X18" s="26"/>
      <c r="Y18" s="26"/>
      <c r="Z18" s="23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</row>
    <row r="19" spans="1:37" ht="30" customHeight="1">
      <c r="A19" s="128" t="s">
        <v>39</v>
      </c>
      <c r="B19" s="128"/>
      <c r="C19" s="128"/>
      <c r="D19" s="24" t="s">
        <v>38</v>
      </c>
      <c r="E19" s="129">
        <v>4</v>
      </c>
      <c r="F19" s="129"/>
      <c r="G19" s="22"/>
      <c r="H19" s="22"/>
      <c r="I19" s="136"/>
      <c r="J19" s="136"/>
      <c r="K19" s="136"/>
      <c r="L19" s="136"/>
      <c r="M19" s="22"/>
      <c r="N19" s="22"/>
      <c r="O19" s="22"/>
      <c r="P19" s="22"/>
      <c r="Q19" s="22"/>
      <c r="R19" s="22"/>
      <c r="S19" s="22"/>
      <c r="T19" s="22"/>
      <c r="U19" s="22"/>
      <c r="V19" s="136"/>
      <c r="W19" s="136"/>
      <c r="X19" s="136"/>
      <c r="Y19" s="21"/>
      <c r="Z19" s="23"/>
      <c r="AA19" s="22"/>
      <c r="AB19" s="21"/>
      <c r="AC19" s="21"/>
      <c r="AD19" s="21"/>
      <c r="AE19" s="21"/>
      <c r="AF19" s="21"/>
      <c r="AG19" s="21"/>
      <c r="AH19" s="21"/>
      <c r="AI19" s="21"/>
      <c r="AJ19" s="21"/>
      <c r="AK19" s="21"/>
    </row>
    <row r="20" spans="1:37" s="3" customFormat="1">
      <c r="A20" s="2"/>
      <c r="B20" s="1"/>
      <c r="C20" s="8"/>
      <c r="D20" s="7"/>
      <c r="E20" s="4"/>
      <c r="F20" s="4"/>
      <c r="G20" s="4"/>
      <c r="H20" s="4"/>
      <c r="I20" s="4"/>
      <c r="J20" s="4"/>
      <c r="K20" s="4"/>
      <c r="L20" s="4"/>
      <c r="M20" s="4"/>
      <c r="N20" s="4"/>
      <c r="O20" s="2"/>
      <c r="P20" s="2"/>
      <c r="Q20" s="2"/>
      <c r="R20" s="2"/>
      <c r="S20" s="2"/>
      <c r="T20" s="2"/>
      <c r="U20" s="2"/>
      <c r="V20" s="2"/>
      <c r="W20" s="9"/>
      <c r="X20" s="2"/>
      <c r="Y20" s="2"/>
      <c r="Z20" s="9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s="3" customFormat="1">
      <c r="A21" s="2"/>
      <c r="B21" s="1"/>
      <c r="C21" s="8"/>
      <c r="D21" s="7"/>
      <c r="E21" s="4"/>
      <c r="F21" s="4"/>
      <c r="G21" s="4"/>
      <c r="H21" s="4"/>
      <c r="I21" s="4"/>
      <c r="J21" s="4"/>
      <c r="K21" s="4"/>
      <c r="L21" s="4"/>
      <c r="M21" s="4"/>
      <c r="N21" s="4"/>
      <c r="O21" s="2"/>
      <c r="P21" s="2"/>
      <c r="Q21" s="2"/>
      <c r="R21" s="2"/>
      <c r="S21" s="2"/>
      <c r="T21" s="2"/>
      <c r="U21" s="2"/>
      <c r="V21" s="2"/>
      <c r="W21" s="9"/>
      <c r="X21" s="2"/>
      <c r="Y21" s="2"/>
      <c r="Z21" s="9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s="3" customFormat="1">
      <c r="A22" s="2"/>
      <c r="B22" s="1"/>
      <c r="C22" s="8"/>
      <c r="D22" s="7"/>
      <c r="E22" s="4"/>
      <c r="F22" s="4"/>
      <c r="G22" s="4"/>
      <c r="H22" s="4"/>
      <c r="I22" s="4"/>
      <c r="J22" s="4"/>
      <c r="K22" s="4"/>
      <c r="L22" s="4"/>
      <c r="M22" s="4"/>
      <c r="N22" s="4"/>
      <c r="O22" s="2"/>
      <c r="P22" s="2"/>
      <c r="Q22" s="2"/>
      <c r="R22" s="2"/>
      <c r="S22" s="2"/>
      <c r="T22" s="2"/>
      <c r="U22" s="2"/>
      <c r="V22" s="2"/>
      <c r="W22" s="9"/>
      <c r="X22" s="2"/>
      <c r="Y22" s="2"/>
      <c r="Z22" s="9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s="3" customFormat="1">
      <c r="A23" s="2"/>
      <c r="B23" s="1"/>
      <c r="C23" s="8"/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  <c r="R23" s="2"/>
      <c r="S23" s="2"/>
      <c r="T23" s="2"/>
      <c r="U23" s="2"/>
      <c r="V23" s="2"/>
      <c r="W23" s="9"/>
      <c r="X23" s="2"/>
      <c r="Y23" s="2"/>
      <c r="Z23" s="9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s="3" customFormat="1">
      <c r="A24" s="2"/>
      <c r="B24" s="1"/>
      <c r="C24" s="8"/>
      <c r="D24" s="7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  <c r="P24" s="2"/>
      <c r="Q24" s="2"/>
      <c r="R24" s="2"/>
      <c r="S24" s="2"/>
      <c r="T24" s="2"/>
      <c r="U24" s="2"/>
      <c r="V24" s="2"/>
      <c r="W24" s="9"/>
      <c r="X24" s="2"/>
      <c r="Y24" s="2"/>
      <c r="Z24" s="9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s="3" customFormat="1">
      <c r="A25" s="2"/>
      <c r="B25" s="1"/>
      <c r="C25" s="8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  <c r="P25" s="2"/>
      <c r="Q25" s="2"/>
      <c r="R25" s="2"/>
      <c r="S25" s="2"/>
      <c r="T25" s="2"/>
      <c r="U25" s="2"/>
      <c r="V25" s="2"/>
      <c r="W25" s="9"/>
      <c r="X25" s="2"/>
      <c r="Y25" s="2"/>
      <c r="Z25" s="9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s="3" customFormat="1">
      <c r="A26" s="2"/>
      <c r="B26" s="1"/>
      <c r="C26" s="8"/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  <c r="P26" s="2"/>
      <c r="Q26" s="2"/>
      <c r="R26" s="2"/>
      <c r="S26" s="2"/>
      <c r="T26" s="2"/>
      <c r="U26" s="2"/>
      <c r="V26" s="2"/>
      <c r="W26" s="9"/>
      <c r="X26" s="2"/>
      <c r="Y26" s="2"/>
      <c r="Z26" s="9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s="3" customFormat="1">
      <c r="A27" s="2"/>
      <c r="B27" s="1"/>
      <c r="C27" s="8"/>
      <c r="D27" s="7"/>
      <c r="E27" s="4"/>
      <c r="F27" s="4"/>
      <c r="G27" s="4"/>
      <c r="H27" s="4"/>
      <c r="I27" s="4"/>
      <c r="J27" s="4"/>
      <c r="K27" s="4"/>
      <c r="L27" s="4"/>
      <c r="M27" s="4"/>
      <c r="N27" s="4"/>
      <c r="O27" s="2"/>
      <c r="P27" s="2"/>
      <c r="Q27" s="2"/>
      <c r="R27" s="2"/>
      <c r="S27" s="2"/>
      <c r="T27" s="2"/>
      <c r="U27" s="2"/>
      <c r="V27" s="2"/>
      <c r="W27" s="9"/>
      <c r="X27" s="2"/>
      <c r="Y27" s="2"/>
      <c r="Z27" s="9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s="3" customFormat="1">
      <c r="A28" s="2"/>
      <c r="B28" s="1"/>
      <c r="C28" s="8"/>
      <c r="D28" s="7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  <c r="R28" s="2"/>
      <c r="S28" s="2"/>
      <c r="T28" s="2"/>
      <c r="U28" s="2"/>
      <c r="V28" s="2"/>
      <c r="W28" s="9"/>
      <c r="X28" s="2"/>
      <c r="Y28" s="2"/>
      <c r="Z28" s="9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s="3" customFormat="1">
      <c r="A29" s="2"/>
      <c r="B29" s="1"/>
      <c r="C29" s="8"/>
      <c r="D29" s="7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2"/>
      <c r="Q29" s="2"/>
      <c r="R29" s="2"/>
      <c r="S29" s="2"/>
      <c r="T29" s="2"/>
      <c r="U29" s="2"/>
      <c r="V29" s="2"/>
      <c r="W29" s="9"/>
      <c r="X29" s="2"/>
      <c r="Y29" s="2"/>
      <c r="Z29" s="9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s="3" customFormat="1">
      <c r="A30" s="2"/>
      <c r="B30" s="1"/>
      <c r="C30" s="8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  <c r="P30" s="2"/>
      <c r="Q30" s="2"/>
      <c r="R30" s="2"/>
      <c r="S30" s="2"/>
      <c r="T30" s="2"/>
      <c r="U30" s="2"/>
      <c r="V30" s="2"/>
      <c r="W30" s="9"/>
      <c r="X30" s="2"/>
      <c r="Y30" s="2"/>
      <c r="Z30" s="9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s="3" customFormat="1">
      <c r="A31" s="2"/>
      <c r="B31" s="1"/>
      <c r="C31" s="8"/>
      <c r="D31" s="7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  <c r="P31" s="2"/>
      <c r="Q31" s="2"/>
      <c r="R31" s="2"/>
      <c r="S31" s="2"/>
      <c r="T31" s="2"/>
      <c r="U31" s="2"/>
      <c r="V31" s="2"/>
      <c r="W31" s="9"/>
      <c r="X31" s="2"/>
      <c r="Y31" s="2"/>
      <c r="Z31" s="9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</sheetData>
  <mergeCells count="35">
    <mergeCell ref="E17:F17"/>
    <mergeCell ref="D5:U5"/>
    <mergeCell ref="Z5:AG5"/>
    <mergeCell ref="AH3:AK3"/>
    <mergeCell ref="I19:L19"/>
    <mergeCell ref="V19:X19"/>
    <mergeCell ref="AH5:AH6"/>
    <mergeCell ref="AI5:AI6"/>
    <mergeCell ref="W11:AD11"/>
    <mergeCell ref="A18:C18"/>
    <mergeCell ref="E18:F18"/>
    <mergeCell ref="A19:C19"/>
    <mergeCell ref="E19:F19"/>
    <mergeCell ref="O10:S10"/>
    <mergeCell ref="L11:S11"/>
    <mergeCell ref="L12:S12"/>
    <mergeCell ref="L13:S13"/>
    <mergeCell ref="A14:C14"/>
    <mergeCell ref="E14:F14"/>
    <mergeCell ref="L14:S14"/>
    <mergeCell ref="A15:C15"/>
    <mergeCell ref="E15:F15"/>
    <mergeCell ref="A16:C16"/>
    <mergeCell ref="E16:F16"/>
    <mergeCell ref="A17:C17"/>
    <mergeCell ref="A2:AK2"/>
    <mergeCell ref="A4:A6"/>
    <mergeCell ref="B4:B6"/>
    <mergeCell ref="C4:Y4"/>
    <mergeCell ref="Z4:AK4"/>
    <mergeCell ref="X5:Y5"/>
    <mergeCell ref="AJ5:AK5"/>
    <mergeCell ref="C5:C6"/>
    <mergeCell ref="V5:V6"/>
    <mergeCell ref="W5:W6"/>
  </mergeCells>
  <printOptions horizontalCentered="1"/>
  <pageMargins left="7.8740157480315001E-2" right="7.8740157480315001E-2" top="0.39370078740157499" bottom="7.8740157480315001E-2" header="0.43307086614173201" footer="0.31496062992126"/>
  <pageSetup paperSize="9" scale="2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13.03.26</vt:lpstr>
      <vt:lpstr>'13.03.26'!Заголовки_для_печати</vt:lpstr>
      <vt:lpstr>'13.03.26'!Область_печати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Sukhrob</dc:creator>
  <cp:lastModifiedBy>Sukhrob</cp:lastModifiedBy>
  <dcterms:created xsi:type="dcterms:W3CDTF">2026-03-25T10:15:36Z</dcterms:created>
  <dcterms:modified xsi:type="dcterms:W3CDTF">2026-04-21T09:54:25Z</dcterms:modified>
</cp:coreProperties>
</file>