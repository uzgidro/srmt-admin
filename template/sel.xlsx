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Сухроб планшетга" sheetId="1" state="visible" r:id="rId1"/>
  </sheets>
  <definedNames>
    <definedName name="_xlnm.Print_Area" localSheetId="0">'Сухроб планшетга'!$A$1:$S$25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10819]hh:mm;@"/>
  </numFmts>
  <fonts count="14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i val="1"/>
      <sz val="9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color theme="1"/>
      <sz val="13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sz val="13"/>
    </font>
    <font>
      <name val="Times New Roman"/>
      <charset val="204"/>
      <family val="1"/>
      <b val="1"/>
      <color theme="1"/>
      <sz val="13"/>
      <vertAlign val="superscript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sz val="11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sz val="16"/>
      <u val="single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"/>
        <bgColor indexed="64"/>
      </patternFill>
    </fill>
    <fill>
      <patternFill patternType="solid">
        <fgColor theme="8" tint="0.799981688894314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1" fillId="0" borderId="0"/>
    <xf numFmtId="0" fontId="1" fillId="0" borderId="0"/>
  </cellStyleXfs>
  <cellXfs count="49">
    <xf numFmtId="0" fontId="0" fillId="0" borderId="0" pivotButton="0" quotePrefix="0" xfId="0"/>
    <xf numFmtId="0" fontId="2" fillId="2" borderId="0" pivotButton="0" quotePrefix="0" xfId="1"/>
    <xf numFmtId="164" fontId="3" fillId="2" borderId="0" applyAlignment="1" applyProtection="1" pivotButton="0" quotePrefix="0" xfId="1">
      <alignment horizontal="center" vertical="center"/>
      <protection locked="0" hidden="0"/>
    </xf>
    <xf numFmtId="0" fontId="4" fillId="2" borderId="0" applyAlignment="1" pivotButton="0" quotePrefix="0" xfId="1">
      <alignment vertical="center"/>
    </xf>
    <xf numFmtId="164" fontId="5" fillId="2" borderId="8" applyAlignment="1" applyProtection="1" pivotButton="0" quotePrefix="0" xfId="1">
      <alignment horizontal="center" vertical="center" wrapText="1"/>
      <protection locked="0" hidden="0"/>
    </xf>
    <xf numFmtId="164" fontId="8" fillId="2" borderId="8" applyAlignment="1" applyProtection="1" pivotButton="0" quotePrefix="0" xfId="1">
      <alignment horizontal="center" vertical="center"/>
      <protection locked="0" hidden="0"/>
    </xf>
    <xf numFmtId="164" fontId="5" fillId="2" borderId="8" applyAlignment="1" applyProtection="1" pivotButton="0" quotePrefix="0" xfId="1">
      <alignment horizontal="center" vertical="center"/>
      <protection locked="0" hidden="0"/>
    </xf>
    <xf numFmtId="164" fontId="8" fillId="2" borderId="8" applyAlignment="1" applyProtection="1" pivotButton="0" quotePrefix="0" xfId="1">
      <alignment horizontal="center" vertical="center" wrapText="1"/>
      <protection locked="0" hidden="0"/>
    </xf>
    <xf numFmtId="2" fontId="5" fillId="2" borderId="8" applyAlignment="1" applyProtection="1" pivotButton="0" quotePrefix="0" xfId="1">
      <alignment horizontal="center" vertical="center" wrapText="1"/>
      <protection locked="0" hidden="0"/>
    </xf>
    <xf numFmtId="2" fontId="8" fillId="2" borderId="8" applyAlignment="1" applyProtection="1" pivotButton="0" quotePrefix="0" xfId="1">
      <alignment horizontal="center" vertical="center" wrapText="1"/>
      <protection locked="0" hidden="0"/>
    </xf>
    <xf numFmtId="165" fontId="5" fillId="4" borderId="8" applyAlignment="1" pivotButton="0" quotePrefix="0" xfId="1">
      <alignment horizontal="center" vertical="center" wrapText="1"/>
    </xf>
    <xf numFmtId="165" fontId="5" fillId="4" borderId="8" applyAlignment="1" pivotButton="0" quotePrefix="0" xfId="1">
      <alignment horizontal="center" vertical="center"/>
    </xf>
    <xf numFmtId="14" fontId="10" fillId="2" borderId="0" applyAlignment="1" applyProtection="1" pivotButton="0" quotePrefix="0" xfId="1">
      <alignment horizontal="right" vertical="center"/>
      <protection locked="0" hidden="0"/>
    </xf>
    <xf numFmtId="0" fontId="11" fillId="2" borderId="0" applyProtection="1" pivotButton="0" quotePrefix="0" xfId="1">
      <protection locked="0" hidden="0"/>
    </xf>
    <xf numFmtId="165" fontId="10" fillId="0" borderId="0" applyAlignment="1" pivotButton="0" quotePrefix="0" xfId="1">
      <alignment horizontal="right" vertical="center"/>
    </xf>
    <xf numFmtId="0" fontId="12" fillId="2" borderId="0" applyAlignment="1" applyProtection="1" pivotButton="0" quotePrefix="0" xfId="1">
      <alignment horizontal="center" vertical="center"/>
      <protection locked="0" hidden="0"/>
    </xf>
    <xf numFmtId="0" fontId="12" fillId="2" borderId="0" applyAlignment="1" applyProtection="1" pivotButton="0" quotePrefix="0" xfId="1">
      <alignment horizontal="center" vertical="center" wrapText="1"/>
      <protection locked="0" hidden="0"/>
    </xf>
    <xf numFmtId="164" fontId="5" fillId="2" borderId="7" applyAlignment="1" applyProtection="1" pivotButton="0" quotePrefix="0" xfId="1">
      <alignment horizontal="center" vertical="center" wrapText="1"/>
      <protection locked="0" hidden="0"/>
    </xf>
    <xf numFmtId="164" fontId="5" fillId="2" borderId="2" applyAlignment="1" applyProtection="1" pivotButton="0" quotePrefix="0" xfId="1">
      <alignment horizontal="center" vertical="center" wrapText="1"/>
      <protection locked="0" hidden="0"/>
    </xf>
    <xf numFmtId="2" fontId="3" fillId="3" borderId="4" applyAlignment="1" applyProtection="1" pivotButton="0" quotePrefix="0" xfId="1">
      <alignment horizontal="center" vertical="center"/>
      <protection locked="0" hidden="0"/>
    </xf>
    <xf numFmtId="2" fontId="3" fillId="3" borderId="3" applyAlignment="1" applyProtection="1" pivotButton="0" quotePrefix="0" xfId="1">
      <alignment horizontal="center" vertical="center"/>
      <protection locked="0" hidden="0"/>
    </xf>
    <xf numFmtId="0" fontId="4" fillId="2" borderId="0" applyAlignment="1" pivotButton="0" quotePrefix="0" xfId="1">
      <alignment horizontal="center" vertical="center"/>
    </xf>
    <xf numFmtId="0" fontId="6" fillId="4" borderId="13" applyAlignment="1" applyProtection="1" pivotButton="0" quotePrefix="0" xfId="1">
      <alignment horizontal="center" vertical="center" wrapText="1"/>
      <protection locked="0" hidden="0"/>
    </xf>
    <xf numFmtId="0" fontId="6" fillId="4" borderId="13" applyAlignment="1" applyProtection="1" pivotButton="0" quotePrefix="0" xfId="1">
      <alignment horizontal="center" vertical="center"/>
      <protection locked="0" hidden="0"/>
    </xf>
    <xf numFmtId="0" fontId="12" fillId="2" borderId="0" applyAlignment="1" applyProtection="1" pivotButton="0" quotePrefix="0" xfId="1">
      <alignment horizontal="center" vertical="center" wrapText="1"/>
      <protection locked="0" hidden="0"/>
    </xf>
    <xf numFmtId="0" fontId="6" fillId="4" borderId="15" applyAlignment="1" applyProtection="1" pivotButton="0" quotePrefix="0" xfId="1">
      <alignment horizontal="center" vertical="center" wrapText="1"/>
      <protection locked="0" hidden="0"/>
    </xf>
    <xf numFmtId="0" fontId="6" fillId="4" borderId="11" applyAlignment="1" applyProtection="1" pivotButton="0" quotePrefix="0" xfId="1">
      <alignment horizontal="center" vertical="center"/>
      <protection locked="0" hidden="0"/>
    </xf>
    <xf numFmtId="0" fontId="7" fillId="2" borderId="9" applyAlignment="1" pivotButton="0" quotePrefix="0" xfId="1">
      <alignment horizontal="center" vertical="center"/>
    </xf>
    <xf numFmtId="0" fontId="7" fillId="2" borderId="5" applyAlignment="1" pivotButton="0" quotePrefix="0" xfId="1">
      <alignment horizontal="center" vertical="center"/>
    </xf>
    <xf numFmtId="0" fontId="6" fillId="0" borderId="3" applyAlignment="1" applyProtection="1" pivotButton="0" quotePrefix="0" xfId="1">
      <alignment horizontal="left" vertical="center" wrapText="1"/>
      <protection locked="0" hidden="0"/>
    </xf>
    <xf numFmtId="0" fontId="6" fillId="4" borderId="12" applyAlignment="1" applyProtection="1" pivotButton="0" quotePrefix="0" xfId="1">
      <alignment horizontal="center" vertical="center" wrapText="1"/>
      <protection locked="0" hidden="0"/>
    </xf>
    <xf numFmtId="0" fontId="6" fillId="4" borderId="10" applyAlignment="1" applyProtection="1" pivotButton="0" quotePrefix="0" xfId="1">
      <alignment horizontal="center" vertical="center" wrapText="1"/>
      <protection locked="0" hidden="0"/>
    </xf>
    <xf numFmtId="0" fontId="2" fillId="2" borderId="6" applyAlignment="1" pivotButton="0" quotePrefix="0" xfId="1">
      <alignment vertical="center"/>
    </xf>
    <xf numFmtId="0" fontId="2" fillId="2" borderId="1" applyAlignment="1" pivotButton="0" quotePrefix="0" xfId="1">
      <alignment vertical="center"/>
    </xf>
    <xf numFmtId="0" fontId="6" fillId="4" borderId="14" applyAlignment="1" applyProtection="1" pivotButton="0" quotePrefix="0" xfId="1">
      <alignment horizontal="center" vertical="center" wrapText="1"/>
      <protection locked="0" hidden="0"/>
    </xf>
    <xf numFmtId="0" fontId="6" fillId="4" borderId="3" applyAlignment="1" applyProtection="1" pivotButton="0" quotePrefix="0" xfId="1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7" fillId="2" borderId="11" applyAlignment="1" pivotButton="0" quotePrefix="0" xfId="1">
      <alignment horizontal="center" vertical="center"/>
    </xf>
    <xf numFmtId="0" fontId="2" fillId="2" borderId="10" applyAlignment="1" pivotButton="0" quotePrefix="0" xfId="1">
      <alignment vertical="center"/>
    </xf>
    <xf numFmtId="0" fontId="0" fillId="0" borderId="5" pivotButton="0" quotePrefix="0" xfId="0"/>
    <xf numFmtId="0" fontId="0" fillId="0" borderId="19" applyProtection="1" pivotButton="0" quotePrefix="0" xfId="0">
      <protection locked="0" hidden="0"/>
    </xf>
    <xf numFmtId="2" fontId="3" fillId="3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1" pivotButton="0" quotePrefix="0" xfId="0"/>
  </cellXfs>
  <cellStyles count="2">
    <cellStyle name="Обычный" xfId="0" builtinId="0"/>
    <cellStyle name="Обычный 5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1"/>
  <sheetViews>
    <sheetView tabSelected="1" view="pageBreakPreview" zoomScale="85" zoomScaleNormal="100" zoomScaleSheetLayoutView="85" workbookViewId="0">
      <selection activeCell="E7" sqref="E7:F7"/>
    </sheetView>
  </sheetViews>
  <sheetFormatPr baseColWidth="8" defaultColWidth="8.6640625" defaultRowHeight="13.8"/>
  <cols>
    <col width="5.44140625" customWidth="1" style="1" min="1" max="1"/>
    <col width="19.33203125" customWidth="1" style="1" min="2" max="2"/>
    <col width="10.109375" customWidth="1" style="1" min="3" max="4"/>
    <col width="8.5546875" customWidth="1" style="1" min="5" max="16"/>
    <col width="8.109375" customWidth="1" style="1" min="17" max="18"/>
    <col width="24.33203125" customWidth="1" style="1" min="19" max="19"/>
    <col width="8.6640625" customWidth="1" style="1" min="20" max="16384"/>
  </cols>
  <sheetData>
    <row r="1" ht="45" customHeight="1">
      <c r="A1" s="24" t="inlineStr">
        <is>
          <t>Ўзбекгидроэнерго АЖ бошқарувидаги сув омборларнинг хар соатлик амалда ишлаши тўғрисида тезкор
Маълумот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  <c r="N1" s="36" t="n"/>
      <c r="O1" s="36" t="n"/>
      <c r="P1" s="36" t="n"/>
      <c r="Q1" s="36" t="n"/>
      <c r="R1" s="36" t="n"/>
      <c r="S1" s="36" t="n"/>
    </row>
    <row r="2" ht="13.5" customHeight="1">
      <c r="B2" s="24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S2" s="14" t="n">
        <v>0</v>
      </c>
    </row>
    <row r="3" ht="13.5" customHeight="1" thickBot="1">
      <c r="B3" s="13" t="n"/>
      <c r="C3" s="13" t="n"/>
      <c r="D3" s="13" t="n"/>
      <c r="E3" s="13" t="n"/>
      <c r="F3" s="13" t="n"/>
      <c r="G3" s="13" t="n"/>
      <c r="I3" s="13" t="n"/>
      <c r="S3" s="12" t="n">
        <v>46140</v>
      </c>
      <c r="T3" s="12" t="n"/>
    </row>
    <row r="4" ht="54" customHeight="1">
      <c r="A4" s="25" t="inlineStr">
        <is>
          <t>Т/р</t>
        </is>
      </c>
      <c r="B4" s="34" t="inlineStr">
        <is>
          <t>Сув омборлар
номи</t>
        </is>
      </c>
      <c r="C4" s="22" t="inlineStr">
        <is>
          <t>сатҳ, м +/-</t>
        </is>
      </c>
      <c r="D4" s="37" t="n"/>
      <c r="E4" s="22" t="inlineStr">
        <is>
          <t>ҳажм, 
млн.м3 +/-</t>
        </is>
      </c>
      <c r="F4" s="37" t="n"/>
      <c r="G4" s="22" t="inlineStr">
        <is>
          <t>келиш, 
м3/смек +/-</t>
        </is>
      </c>
      <c r="H4" s="37" t="n"/>
      <c r="I4" s="22" t="inlineStr">
        <is>
          <t>чиқиш, 
м3/смек +/-</t>
        </is>
      </c>
      <c r="J4" s="37" t="n"/>
      <c r="K4" s="22" t="inlineStr">
        <is>
          <t>ГЭС 
орқали +/-</t>
        </is>
      </c>
      <c r="L4" s="37" t="n"/>
      <c r="M4" s="22" t="inlineStr">
        <is>
          <t>Қуввати +/-</t>
        </is>
      </c>
      <c r="N4" s="37" t="n"/>
      <c r="O4" s="22" t="inlineStr">
        <is>
          <t>салт 
ташлама +/-</t>
        </is>
      </c>
      <c r="P4" s="37" t="n"/>
      <c r="Q4" s="22" t="inlineStr">
        <is>
          <t>Об-хаво маълумоти</t>
        </is>
      </c>
      <c r="R4" s="37" t="n"/>
      <c r="S4" s="30" t="inlineStr">
        <is>
          <t>Диспетчер
Ф.И.Ш</t>
        </is>
      </c>
    </row>
    <row r="5" ht="32.25" customHeight="1">
      <c r="A5" s="38" t="n"/>
      <c r="B5" s="39" t="n"/>
      <c r="C5" s="11">
        <f>MOD($S$2-1/24,1)</f>
        <v/>
      </c>
      <c r="D5" s="11">
        <f>$S$2</f>
        <v/>
      </c>
      <c r="E5" s="11">
        <f>MOD($S$2-1/24,1)</f>
        <v/>
      </c>
      <c r="F5" s="11">
        <f>$S$2</f>
        <v/>
      </c>
      <c r="G5" s="11">
        <f>MOD($S$2-1/24,1)</f>
        <v/>
      </c>
      <c r="H5" s="11">
        <f>$S$2</f>
        <v/>
      </c>
      <c r="I5" s="11">
        <f>MOD($S$2-1/24,1)</f>
        <v/>
      </c>
      <c r="J5" s="11">
        <f>$S$2</f>
        <v/>
      </c>
      <c r="K5" s="11">
        <f>MOD($S$2-1/24,1)</f>
        <v/>
      </c>
      <c r="L5" s="11">
        <f>$S$2</f>
        <v/>
      </c>
      <c r="M5" s="11">
        <f>MOD($S$2-1/24,1)</f>
        <v/>
      </c>
      <c r="N5" s="11">
        <f>$S$2</f>
        <v/>
      </c>
      <c r="O5" s="11">
        <f>MOD($S$2-1/24,1)</f>
        <v/>
      </c>
      <c r="P5" s="11">
        <f>$S$2</f>
        <v/>
      </c>
      <c r="Q5" s="10" t="inlineStr">
        <is>
          <t xml:space="preserve">хола
ти </t>
        </is>
      </c>
      <c r="R5" s="10" t="inlineStr">
        <is>
          <t>харо
рат</t>
        </is>
      </c>
      <c r="S5" s="40" t="n"/>
    </row>
    <row r="6" ht="27.75" customHeight="1">
      <c r="A6" s="41" t="n">
        <v>1</v>
      </c>
      <c r="B6" s="29" t="inlineStr">
        <is>
          <t>NAME</t>
        </is>
      </c>
      <c r="C6" s="9" t="n">
        <v>0</v>
      </c>
      <c r="D6" s="8" t="n">
        <v>0</v>
      </c>
      <c r="E6" s="7" t="n">
        <v>0</v>
      </c>
      <c r="F6" s="4" t="n">
        <v>0</v>
      </c>
      <c r="G6" s="7" t="n">
        <v>0</v>
      </c>
      <c r="H6" s="6" t="n">
        <v>0</v>
      </c>
      <c r="I6" s="7" t="n">
        <v>0</v>
      </c>
      <c r="J6" s="4" t="n">
        <v>0</v>
      </c>
      <c r="K6" s="5" t="n">
        <v>0</v>
      </c>
      <c r="L6" s="6" t="n">
        <v>0</v>
      </c>
      <c r="M6" s="6" t="n"/>
      <c r="N6" s="6" t="n"/>
      <c r="O6" s="5" t="n">
        <v>0</v>
      </c>
      <c r="P6" s="4" t="n">
        <v>0</v>
      </c>
      <c r="Q6" s="4" t="n"/>
      <c r="R6" s="4" t="n"/>
      <c r="S6" s="42" t="n"/>
    </row>
    <row r="7" ht="14.25" customHeight="1">
      <c r="A7" s="43" t="n"/>
      <c r="B7" s="44" t="n"/>
      <c r="C7" s="45">
        <f>IFERROR(D6-C6, "-")</f>
        <v/>
      </c>
      <c r="D7" s="46" t="n"/>
      <c r="E7" s="45">
        <f>IFERROR(F6-E6, "-")</f>
        <v/>
      </c>
      <c r="F7" s="46" t="n"/>
      <c r="G7" s="45">
        <f>IFERROR(H6-G6, "-")</f>
        <v/>
      </c>
      <c r="H7" s="46" t="n"/>
      <c r="I7" s="45">
        <f>IFERROR(J6-I6, "-")</f>
        <v/>
      </c>
      <c r="J7" s="46" t="n"/>
      <c r="K7" s="45">
        <f>IFERROR(L6-K6, "-")</f>
        <v/>
      </c>
      <c r="L7" s="46" t="n"/>
      <c r="M7" s="45">
        <f>IFERROR(N6-M6, "-")</f>
        <v/>
      </c>
      <c r="N7" s="46" t="n"/>
      <c r="O7" s="45">
        <f>IFERROR(P6-O6, "-")</f>
        <v/>
      </c>
      <c r="P7" s="46" t="n"/>
      <c r="Q7" s="47" t="n"/>
      <c r="R7" s="47" t="n"/>
      <c r="S7" s="48" t="n"/>
    </row>
    <row r="8" ht="26.25" customHeight="1"/>
    <row r="9" ht="25.5" customHeight="1">
      <c r="A9" s="3" t="n"/>
      <c r="B9" s="3" t="n"/>
      <c r="C9" s="3" t="n"/>
      <c r="D9" s="3" t="n"/>
      <c r="E9" s="21" t="inlineStr">
        <is>
          <t>Вазиятлар маркази тезкор навбатчиси</t>
        </is>
      </c>
      <c r="K9" s="3" t="n"/>
      <c r="L9" s="3" t="n"/>
      <c r="M9" s="21" t="n"/>
      <c r="R9" s="3" t="n"/>
      <c r="S9" s="3" t="n"/>
    </row>
    <row r="11">
      <c r="J11" s="2" t="n"/>
      <c r="K11" s="2" t="n"/>
    </row>
  </sheetData>
  <mergeCells count="26">
    <mergeCell ref="O7:P7"/>
    <mergeCell ref="E9:J9"/>
    <mergeCell ref="R6:R7"/>
    <mergeCell ref="M9:Q9"/>
    <mergeCell ref="A6:A7"/>
    <mergeCell ref="C4:D4"/>
    <mergeCell ref="E4:F4"/>
    <mergeCell ref="G7:H7"/>
    <mergeCell ref="I7:J7"/>
    <mergeCell ref="Q6:Q7"/>
    <mergeCell ref="O4:P4"/>
    <mergeCell ref="S6:S7"/>
    <mergeCell ref="B6:B7"/>
    <mergeCell ref="Q4:R4"/>
    <mergeCell ref="M7:N7"/>
    <mergeCell ref="A4:A5"/>
    <mergeCell ref="A1:S1"/>
    <mergeCell ref="S4:S5"/>
    <mergeCell ref="G4:H4"/>
    <mergeCell ref="K7:L7"/>
    <mergeCell ref="I4:J4"/>
    <mergeCell ref="B4:B5"/>
    <mergeCell ref="C7:D7"/>
    <mergeCell ref="E7:F7"/>
    <mergeCell ref="K4:L4"/>
    <mergeCell ref="M4:N4"/>
  </mergeCells>
  <printOptions horizontalCentered="1" verticalCentered="1"/>
  <pageMargins left="0.1968503937007874" right="0.1968503937007874" top="0" bottom="0" header="0.1181102362204725" footer="0.118110236220472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Sukhrob</dc:creator>
  <dcterms:created xsi:type="dcterms:W3CDTF">2026-05-04T05:08:55Z</dcterms:created>
  <dcterms:modified xsi:type="dcterms:W3CDTF">2026-05-06T06:26:58Z</dcterms:modified>
  <cp:lastModifiedBy>Sukhrob</cp:lastModifiedBy>
</cp:coreProperties>
</file>