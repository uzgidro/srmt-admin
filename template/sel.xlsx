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o\srmt-prime\template\"/>
    </mc:Choice>
  </mc:AlternateContent>
  <xr:revisionPtr revIDLastSave="0" documentId="13_ncr:1_{BC58731E-4E77-46BB-A929-4DD0D9369C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ухроб планшетга" sheetId="1" r:id="rId1"/>
  </sheets>
  <definedNames>
    <definedName name="_xlnm.Print_Area" localSheetId="0">'Сухроб планшетга'!$A$1:$S$25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M5" i="1"/>
  <c r="K5" i="1"/>
  <c r="I5" i="1"/>
  <c r="G5" i="1"/>
  <c r="E5" i="1"/>
  <c r="C5" i="1"/>
  <c r="O7" i="1"/>
  <c r="M7" i="1"/>
  <c r="K7" i="1"/>
  <c r="I7" i="1"/>
  <c r="G7" i="1"/>
  <c r="E7" i="1"/>
  <c r="C7" i="1"/>
  <c r="P5" i="1"/>
  <c r="N5" i="1"/>
  <c r="L5" i="1"/>
  <c r="J5" i="1"/>
  <c r="H5" i="1"/>
  <c r="F5" i="1"/>
  <c r="D5" i="1"/>
</calcChain>
</file>

<file path=xl/sharedStrings.xml><?xml version="1.0" encoding="utf-8"?>
<sst xmlns="http://schemas.openxmlformats.org/spreadsheetml/2006/main" count="16" uniqueCount="16">
  <si>
    <t>Ўзбекгидроэнерго АЖ бошқарувидаги сув омборларнинг хар соатлик амалда ишлаши тўғрисида тезкор
Маълумот</t>
  </si>
  <si>
    <t>Т/р</t>
  </si>
  <si>
    <t>Сув омборлар
номи</t>
  </si>
  <si>
    <t>сатҳ, м +/-</t>
  </si>
  <si>
    <t>ҳажм, 
млн.м3 +/-</t>
  </si>
  <si>
    <t>келиш, 
м3/смек +/-</t>
  </si>
  <si>
    <t>чиқиш, 
м3/смек +/-</t>
  </si>
  <si>
    <t>ГЭС 
орқали +/-</t>
  </si>
  <si>
    <t>Қуввати +/-</t>
  </si>
  <si>
    <t>салт 
ташлама +/-</t>
  </si>
  <si>
    <t>Об-хаво маълумоти</t>
  </si>
  <si>
    <t>Диспетчер
Ф.И.Ш</t>
  </si>
  <si>
    <t xml:space="preserve">хола
ти </t>
  </si>
  <si>
    <t>харо
рат</t>
  </si>
  <si>
    <t>NAME</t>
  </si>
  <si>
    <t>Вазиятлар маркази тезкор навбатчиси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</si>
</sst>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10819]hh:mm;@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i/>
      <sz val="9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3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6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2" borderId="0" xfId="1" applyFont="1" applyFill="1"/>
    <xf numFmtId="164" fontId="3" fillId="2" borderId="0" xfId="1" applyNumberFormat="1" applyFont="1" applyFill="1" applyAlignment="1" applyProtection="1">
      <alignment horizontal="center" vertical="center"/>
      <protection locked="0"/>
    </xf>
    <xf numFmtId="0" fontId="4" fillId="2" borderId="0" xfId="1" applyFont="1" applyFill="1" applyAlignment="1">
      <alignment vertical="center"/>
    </xf>
    <xf numFmtId="164" fontId="5" fillId="2" borderId="5" xfId="1" applyNumberFormat="1" applyFont="1" applyFill="1" applyBorder="1" applyAlignment="1" applyProtection="1">
      <alignment horizontal="center" vertical="center" wrapText="1"/>
      <protection locked="0"/>
    </xf>
    <xf numFmtId="164" fontId="8" fillId="2" borderId="5" xfId="1" applyNumberFormat="1" applyFont="1" applyFill="1" applyBorder="1" applyAlignment="1" applyProtection="1">
      <alignment horizontal="center" vertical="center"/>
      <protection locked="0"/>
    </xf>
    <xf numFmtId="164" fontId="5" fillId="2" borderId="5" xfId="1" applyNumberFormat="1" applyFont="1" applyFill="1" applyBorder="1" applyAlignment="1" applyProtection="1">
      <alignment horizontal="center" vertical="center"/>
      <protection locked="0"/>
    </xf>
    <xf numFmtId="164" fontId="8" fillId="2" borderId="5" xfId="1" applyNumberFormat="1" applyFont="1" applyFill="1" applyBorder="1" applyAlignment="1" applyProtection="1">
      <alignment horizontal="center" vertical="center" wrapText="1"/>
      <protection locked="0"/>
    </xf>
    <xf numFmtId="2" fontId="5" fillId="2" borderId="5" xfId="1" applyNumberFormat="1" applyFont="1" applyFill="1" applyBorder="1" applyAlignment="1" applyProtection="1">
      <alignment horizontal="center" vertical="center" wrapText="1"/>
      <protection locked="0"/>
    </xf>
    <xf numFmtId="2" fontId="8" fillId="2" borderId="5" xfId="1" applyNumberFormat="1" applyFont="1" applyFill="1" applyBorder="1" applyAlignment="1" applyProtection="1">
      <alignment horizontal="center" vertical="center" wrapText="1"/>
      <protection locked="0"/>
    </xf>
    <xf numFmtId="165" fontId="5" fillId="4" borderId="5" xfId="1" applyNumberFormat="1" applyFont="1" applyFill="1" applyBorder="1" applyAlignment="1">
      <alignment horizontal="center" vertical="center" wrapText="1"/>
    </xf>
    <xf numFmtId="165" fontId="5" fillId="4" borderId="5" xfId="1" applyNumberFormat="1" applyFont="1" applyFill="1" applyBorder="1" applyAlignment="1">
      <alignment horizontal="center" vertical="center"/>
    </xf>
    <xf numFmtId="14" fontId="9" fillId="2" borderId="0" xfId="1" applyNumberFormat="1" applyFont="1" applyFill="1" applyAlignment="1" applyProtection="1">
      <alignment horizontal="right" vertical="center"/>
      <protection locked="0"/>
    </xf>
    <xf numFmtId="0" fontId="10" fillId="2" borderId="0" xfId="1" applyFont="1" applyFill="1" applyProtection="1">
      <protection locked="0"/>
    </xf>
    <xf numFmtId="165" fontId="9" fillId="0" borderId="0" xfId="1" applyNumberFormat="1" applyFont="1" applyAlignment="1">
      <alignment horizontal="right" vertical="center"/>
    </xf>
    <xf numFmtId="0" fontId="11" fillId="2" borderId="0" xfId="1" applyFont="1" applyFill="1" applyAlignment="1" applyProtection="1">
      <alignment horizontal="center" vertical="center"/>
      <protection locked="0"/>
    </xf>
    <xf numFmtId="0" fontId="11" fillId="2" borderId="0" xfId="1" applyFont="1" applyFill="1" applyAlignment="1" applyProtection="1">
      <alignment horizontal="center" vertical="center" wrapText="1"/>
      <protection locked="0"/>
    </xf>
    <xf numFmtId="2" fontId="3" fillId="3" borderId="5" xfId="1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4" fillId="2" borderId="0" xfId="1" applyFont="1" applyFill="1" applyAlignment="1">
      <alignment horizontal="center" vertical="center"/>
    </xf>
    <xf numFmtId="0" fontId="2" fillId="2" borderId="0" xfId="1" applyFont="1" applyFill="1"/>
    <xf numFmtId="164" fontId="5" fillId="2" borderId="5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Protection="1">
      <protection locked="0"/>
    </xf>
    <xf numFmtId="0" fontId="7" fillId="2" borderId="7" xfId="1" applyFont="1" applyFill="1" applyBorder="1" applyAlignment="1">
      <alignment horizontal="center" vertical="center"/>
    </xf>
    <xf numFmtId="0" fontId="0" fillId="0" borderId="4" xfId="0" applyBorder="1"/>
    <xf numFmtId="0" fontId="6" fillId="4" borderId="9" xfId="1" applyFont="1" applyFill="1" applyBorder="1" applyAlignment="1" applyProtection="1">
      <alignment horizontal="center" vertical="center" wrapText="1"/>
      <protection locked="0"/>
    </xf>
    <xf numFmtId="0" fontId="0" fillId="0" borderId="14" xfId="0" applyBorder="1" applyProtection="1">
      <protection locked="0"/>
    </xf>
    <xf numFmtId="0" fontId="2" fillId="2" borderId="6" xfId="1" applyFont="1" applyFill="1" applyBorder="1" applyAlignment="1">
      <alignment vertical="center"/>
    </xf>
    <xf numFmtId="0" fontId="0" fillId="0" borderId="1" xfId="0" applyBorder="1"/>
    <xf numFmtId="0" fontId="6" fillId="0" borderId="3" xfId="1" applyFont="1" applyBorder="1" applyAlignment="1" applyProtection="1">
      <alignment horizontal="left" vertical="center" wrapText="1"/>
      <protection locked="0"/>
    </xf>
    <xf numFmtId="0" fontId="0" fillId="0" borderId="12" xfId="0" applyBorder="1" applyProtection="1">
      <protection locked="0"/>
    </xf>
    <xf numFmtId="0" fontId="6" fillId="4" borderId="11" xfId="1" applyFont="1" applyFill="1" applyBorder="1" applyAlignment="1" applyProtection="1">
      <alignment horizontal="center" vertical="center" wrapText="1"/>
      <protection locked="0"/>
    </xf>
    <xf numFmtId="0" fontId="0" fillId="0" borderId="4" xfId="0" applyBorder="1" applyProtection="1">
      <protection locked="0"/>
    </xf>
    <xf numFmtId="0" fontId="11" fillId="2" borderId="0" xfId="1" applyFont="1" applyFill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4" borderId="8" xfId="1" applyFont="1" applyFill="1" applyBorder="1" applyAlignment="1" applyProtection="1">
      <alignment horizontal="center" vertical="center" wrapText="1"/>
      <protection locked="0"/>
    </xf>
    <xf numFmtId="0" fontId="0" fillId="0" borderId="13" xfId="0" applyBorder="1" applyProtection="1">
      <protection locked="0"/>
    </xf>
    <xf numFmtId="0" fontId="6" fillId="4" borderId="10" xfId="1" applyFont="1" applyFill="1" applyBorder="1" applyAlignment="1" applyProtection="1">
      <alignment horizontal="center" vertical="center" wrapText="1"/>
      <protection locked="0"/>
    </xf>
    <xf numFmtId="0" fontId="0" fillId="0" borderId="15" xfId="0" applyBorder="1" applyProtection="1">
      <protection locked="0"/>
    </xf>
  </cellXfs>
  <cellStyles count="2">
    <cellStyle name="Обычный" xfId="0" builtinId="0"/>
    <cellStyle name="Обычный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1"/>
  <sheetViews>
    <sheetView tabSelected="1" view="pageBreakPreview" zoomScale="85" zoomScaleNormal="100" zoomScaleSheetLayoutView="85" workbookViewId="0">
      <selection activeCell="O5" sqref="O5"/>
    </sheetView>
  </sheetViews>
  <sheetFormatPr defaultColWidth="8.6640625" defaultRowHeight="13.8" x14ac:dyDescent="0.25"/>
  <cols>
    <col min="1" max="1" width="5.44140625" style="1" customWidth="1"/>
    <col min="2" max="2" width="19.33203125" style="1" customWidth="1"/>
    <col min="3" max="4" width="10.109375" style="1" customWidth="1"/>
    <col min="5" max="16" width="8.5546875" style="1" customWidth="1"/>
    <col min="17" max="18" width="8.109375" style="1" customWidth="1"/>
    <col min="19" max="19" width="24.33203125" style="1" customWidth="1"/>
    <col min="20" max="20" width="8.6640625" style="1" customWidth="1"/>
    <col min="21" max="16384" width="8.6640625" style="1"/>
  </cols>
  <sheetData>
    <row r="1" spans="1:20" ht="45" customHeight="1" x14ac:dyDescent="0.3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20" ht="13.5" customHeight="1" x14ac:dyDescent="0.25">
      <c r="B2" s="16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S2" s="14">
        <v>0</v>
      </c>
    </row>
    <row r="3" spans="1:20" ht="13.5" customHeight="1" thickBot="1" x14ac:dyDescent="0.3">
      <c r="B3" s="13"/>
      <c r="C3" s="13"/>
      <c r="D3" s="13"/>
      <c r="E3" s="13"/>
      <c r="F3" s="13"/>
      <c r="G3" s="13"/>
      <c r="I3" s="13"/>
      <c r="S3" s="12">
        <v>46140</v>
      </c>
      <c r="T3" s="12"/>
    </row>
    <row r="4" spans="1:20" ht="54" customHeight="1" x14ac:dyDescent="0.3">
      <c r="A4" s="31" t="s">
        <v>1</v>
      </c>
      <c r="B4" s="37" t="s">
        <v>2</v>
      </c>
      <c r="C4" s="25" t="s">
        <v>3</v>
      </c>
      <c r="D4" s="26"/>
      <c r="E4" s="25" t="s">
        <v>4</v>
      </c>
      <c r="F4" s="26"/>
      <c r="G4" s="25" t="s">
        <v>5</v>
      </c>
      <c r="H4" s="26"/>
      <c r="I4" s="25" t="s">
        <v>6</v>
      </c>
      <c r="J4" s="26"/>
      <c r="K4" s="25" t="s">
        <v>7</v>
      </c>
      <c r="L4" s="26"/>
      <c r="M4" s="25" t="s">
        <v>8</v>
      </c>
      <c r="N4" s="26"/>
      <c r="O4" s="25" t="s">
        <v>9</v>
      </c>
      <c r="P4" s="26"/>
      <c r="Q4" s="25" t="s">
        <v>10</v>
      </c>
      <c r="R4" s="26"/>
      <c r="S4" s="35" t="s">
        <v>11</v>
      </c>
    </row>
    <row r="5" spans="1:20" ht="32.25" customHeight="1" x14ac:dyDescent="0.25">
      <c r="A5" s="32"/>
      <c r="B5" s="38"/>
      <c r="C5" s="11">
        <f>MOD($S$2-TIME(1,0,0),1)</f>
        <v>0.95833333333333337</v>
      </c>
      <c r="D5" s="11">
        <f>$S$2</f>
        <v>0</v>
      </c>
      <c r="E5" s="11">
        <f>MOD($S$2-TIME(1,0,0),1)</f>
        <v>0.95833333333333337</v>
      </c>
      <c r="F5" s="11">
        <f>$S$2</f>
        <v>0</v>
      </c>
      <c r="G5" s="11">
        <f>MOD($S$2-TIME(1,0,0),1)</f>
        <v>0.95833333333333337</v>
      </c>
      <c r="H5" s="11">
        <f>$S$2</f>
        <v>0</v>
      </c>
      <c r="I5" s="11">
        <f>MOD($S$2-TIME(1,0,0),1)</f>
        <v>0.95833333333333337</v>
      </c>
      <c r="J5" s="11">
        <f>$S$2</f>
        <v>0</v>
      </c>
      <c r="K5" s="11">
        <f>MOD($S$2-TIME(1,0,0),1)</f>
        <v>0.95833333333333337</v>
      </c>
      <c r="L5" s="11">
        <f>$S$2</f>
        <v>0</v>
      </c>
      <c r="M5" s="11">
        <f>MOD($S$2-TIME(1,0,0),1)</f>
        <v>0.95833333333333337</v>
      </c>
      <c r="N5" s="11">
        <f>$S$2</f>
        <v>0</v>
      </c>
      <c r="O5" s="11">
        <f>MOD($S$2-TIME(1,0,0),1)</f>
        <v>0.95833333333333337</v>
      </c>
      <c r="P5" s="11">
        <f>$S$2</f>
        <v>0</v>
      </c>
      <c r="Q5" s="10" t="s">
        <v>12</v>
      </c>
      <c r="R5" s="10" t="s">
        <v>13</v>
      </c>
      <c r="S5" s="36"/>
    </row>
    <row r="6" spans="1:20" ht="27.75" customHeight="1" x14ac:dyDescent="0.25">
      <c r="A6" s="23">
        <v>1</v>
      </c>
      <c r="B6" s="29" t="s">
        <v>14</v>
      </c>
      <c r="C6" s="9">
        <v>0</v>
      </c>
      <c r="D6" s="8">
        <v>0</v>
      </c>
      <c r="E6" s="7">
        <v>0</v>
      </c>
      <c r="F6" s="4">
        <v>0</v>
      </c>
      <c r="G6" s="7">
        <v>0</v>
      </c>
      <c r="H6" s="6">
        <v>0</v>
      </c>
      <c r="I6" s="7">
        <v>0</v>
      </c>
      <c r="J6" s="4">
        <v>0</v>
      </c>
      <c r="K6" s="5">
        <v>0</v>
      </c>
      <c r="L6" s="6">
        <v>0</v>
      </c>
      <c r="M6" s="6"/>
      <c r="N6" s="6"/>
      <c r="O6" s="5">
        <v>0</v>
      </c>
      <c r="P6" s="4">
        <v>0</v>
      </c>
      <c r="Q6" s="21"/>
      <c r="R6" s="21"/>
      <c r="S6" s="27"/>
    </row>
    <row r="7" spans="1:20" ht="14.25" customHeight="1" x14ac:dyDescent="0.3">
      <c r="A7" s="24"/>
      <c r="B7" s="30"/>
      <c r="C7" s="17">
        <f>IFERROR(D6-C6, "-")</f>
        <v>0</v>
      </c>
      <c r="D7" s="18"/>
      <c r="E7" s="17">
        <f>IFERROR(F6-E6, "-")</f>
        <v>0</v>
      </c>
      <c r="F7" s="18"/>
      <c r="G7" s="17">
        <f>IFERROR(H6-G6, "-")</f>
        <v>0</v>
      </c>
      <c r="H7" s="18"/>
      <c r="I7" s="17">
        <f>IFERROR(J6-I6, "-")</f>
        <v>0</v>
      </c>
      <c r="J7" s="18"/>
      <c r="K7" s="17">
        <f>IFERROR(L6-K6, "-")</f>
        <v>0</v>
      </c>
      <c r="L7" s="18"/>
      <c r="M7" s="17">
        <f>IFERROR(N6-M6, "-")</f>
        <v>0</v>
      </c>
      <c r="N7" s="18"/>
      <c r="O7" s="17">
        <f>IFERROR(P6-O6, "-")</f>
        <v>0</v>
      </c>
      <c r="P7" s="18"/>
      <c r="Q7" s="22"/>
      <c r="R7" s="22"/>
      <c r="S7" s="28"/>
    </row>
    <row r="8" spans="1:20" ht="26.25" customHeight="1" x14ac:dyDescent="0.25"/>
    <row r="9" spans="1:20" ht="25.5" customHeight="1" x14ac:dyDescent="0.25">
      <c r="A9" s="3"/>
      <c r="B9" s="3"/>
      <c r="C9" s="3"/>
      <c r="D9" s="3"/>
      <c r="E9" s="19" t="s">
        <v>15</v>
      </c>
      <c r="F9" s="20"/>
      <c r="G9" s="20"/>
      <c r="H9" s="20"/>
      <c r="I9" s="20"/>
      <c r="J9" s="20"/>
      <c r="K9" s="3"/>
      <c r="L9" s="3"/>
      <c r="M9" s="19"/>
      <c r="N9" s="20"/>
      <c r="O9" s="20"/>
      <c r="P9" s="20"/>
      <c r="Q9" s="20"/>
      <c r="R9" s="3"/>
      <c r="S9" s="3"/>
    </row>
    <row r="11" spans="1:20" x14ac:dyDescent="0.25">
      <c r="J11" s="2"/>
      <c r="K11" s="2"/>
    </row>
  </sheetData>
  <mergeCells count="26">
    <mergeCell ref="A1:S1"/>
    <mergeCell ref="S4:S5"/>
    <mergeCell ref="G4:H4"/>
    <mergeCell ref="K7:L7"/>
    <mergeCell ref="I4:J4"/>
    <mergeCell ref="B4:B5"/>
    <mergeCell ref="C7:D7"/>
    <mergeCell ref="E7:F7"/>
    <mergeCell ref="K4:L4"/>
    <mergeCell ref="M4:N4"/>
    <mergeCell ref="S6:S7"/>
    <mergeCell ref="B6:B7"/>
    <mergeCell ref="Q4:R4"/>
    <mergeCell ref="M7:N7"/>
    <mergeCell ref="A4:A5"/>
    <mergeCell ref="C4:D4"/>
    <mergeCell ref="E4:F4"/>
    <mergeCell ref="G7:H7"/>
    <mergeCell ref="I7:J7"/>
    <mergeCell ref="Q6:Q7"/>
    <mergeCell ref="O4:P4"/>
    <mergeCell ref="O7:P7"/>
    <mergeCell ref="E9:J9"/>
    <mergeCell ref="R6:R7"/>
    <mergeCell ref="M9:Q9"/>
    <mergeCell ref="A6:A7"/>
  </mergeCells>
  <printOptions horizontalCentered="1" verticalCentered="1"/>
  <pageMargins left="0.19685039370078741" right="0.19685039370078741" top="0" bottom="0" header="0.11811023622047249" footer="0.11811023622047249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Сухроб планшетга</vt:lpstr>
      <vt:lpstr>'Сухроб планшетга'!Область_печати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Sukhrob</dc:creator>
  <cp:lastModifiedBy>Sukhrob</cp:lastModifiedBy>
  <dcterms:created xsi:type="dcterms:W3CDTF">2026-05-04T05:08:55Z</dcterms:created>
  <dcterms:modified xsi:type="dcterms:W3CDTF">2026-05-07T09:59:42Z</dcterms:modified>
</cp:coreProperties>
</file>