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D:\projects\go\srmt-prime\internal\lib\service\excel\templates\"/>
    </mc:Choice>
  </mc:AlternateContent>
  <xr:revisionPtr revIDLastSave="0" documentId="13_ncr:1_{4E252B51-6182-4E7A-92E8-5BA8A8829165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16.12 (P)" sheetId="1" r:id="rId1"/>
  </sheets>
  <definedNames>
    <definedName name="_xlnm.Print_Area" localSheetId="0">'16.12 (P)'!$A$1:$O$26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smNativeData">
      <pm:revision xmlns:pm="smNativeData" day="1769060904" val="1230" rev="124" revOS="4" revMin="124" revMax="0"/>
      <pm:docPrefs xmlns:pm="smNativeData" id="1769060904" fixedDigits="0" showNotice="1" showFrameBounds="1" autoChart="1" recalcOnPrint="1" recalcOnCopy="1" finalRounding="1" compatTextArt="1" tab="567" useDefinedPrintRange="1" printArea="currentSheet"/>
      <pm:compatibility xmlns:pm="smNativeData" id="1769060904" overlapCells="1"/>
      <pm:defCurrency xmlns:pm="smNativeData" id="1769060904"/>
    </ext>
  </extLst>
</workbook>
</file>

<file path=xl/calcChain.xml><?xml version="1.0" encoding="utf-8"?>
<calcChain xmlns="http://schemas.openxmlformats.org/spreadsheetml/2006/main">
  <c r="M23" i="1" l="1"/>
  <c r="L23" i="1"/>
  <c r="K23" i="1"/>
  <c r="J23" i="1"/>
  <c r="H23" i="1"/>
  <c r="G23" i="1"/>
  <c r="E23" i="1"/>
  <c r="D23" i="1"/>
  <c r="D21" i="1"/>
  <c r="E21" i="1"/>
  <c r="F21" i="1"/>
  <c r="G21" i="1"/>
  <c r="H21" i="1"/>
  <c r="I21" i="1"/>
  <c r="J21" i="1"/>
  <c r="K21" i="1"/>
  <c r="L21" i="1"/>
  <c r="M21" i="1"/>
  <c r="C21" i="1"/>
  <c r="D20" i="1"/>
  <c r="E20" i="1"/>
  <c r="F20" i="1"/>
  <c r="G20" i="1"/>
  <c r="H20" i="1"/>
  <c r="I20" i="1"/>
  <c r="J20" i="1"/>
  <c r="K20" i="1"/>
  <c r="L20" i="1"/>
  <c r="M20" i="1"/>
  <c r="C20" i="1"/>
  <c r="D30" i="1"/>
  <c r="F30" i="1"/>
  <c r="L28" i="1" l="1"/>
  <c r="C28" i="1"/>
  <c r="M29" i="1"/>
  <c r="O29" i="1"/>
  <c r="M7" i="1" l="1"/>
  <c r="M9" i="1"/>
  <c r="M11" i="1"/>
  <c r="M13" i="1"/>
  <c r="M15" i="1"/>
  <c r="M17" i="1"/>
  <c r="M19" i="1"/>
  <c r="L19" i="1"/>
  <c r="K19" i="1"/>
  <c r="J19" i="1"/>
  <c r="H19" i="1"/>
  <c r="G19" i="1"/>
  <c r="E19" i="1"/>
  <c r="D19" i="1"/>
  <c r="O19" i="1"/>
  <c r="N19" i="1"/>
  <c r="O23" i="1"/>
  <c r="N23" i="1"/>
  <c r="O17" i="1"/>
  <c r="N17" i="1"/>
  <c r="L17" i="1"/>
  <c r="K17" i="1"/>
  <c r="J17" i="1"/>
  <c r="H17" i="1"/>
  <c r="G17" i="1"/>
  <c r="E17" i="1"/>
  <c r="D17" i="1"/>
  <c r="O15" i="1"/>
  <c r="N15" i="1"/>
  <c r="L15" i="1"/>
  <c r="K15" i="1"/>
  <c r="J15" i="1"/>
  <c r="H15" i="1"/>
  <c r="G15" i="1"/>
  <c r="E15" i="1"/>
  <c r="D15" i="1"/>
  <c r="O13" i="1"/>
  <c r="N13" i="1"/>
  <c r="L13" i="1"/>
  <c r="K13" i="1"/>
  <c r="J13" i="1"/>
  <c r="H13" i="1"/>
  <c r="G13" i="1"/>
  <c r="E13" i="1"/>
  <c r="D13" i="1"/>
  <c r="L11" i="1"/>
  <c r="K11" i="1"/>
  <c r="J11" i="1"/>
  <c r="H11" i="1"/>
  <c r="G11" i="1"/>
  <c r="E11" i="1"/>
  <c r="D11" i="1"/>
  <c r="O9" i="1"/>
  <c r="N9" i="1"/>
  <c r="L9" i="1"/>
  <c r="K9" i="1"/>
  <c r="J9" i="1"/>
  <c r="H9" i="1"/>
  <c r="G9" i="1"/>
  <c r="E9" i="1"/>
  <c r="D9" i="1"/>
  <c r="O7" i="1"/>
  <c r="N7" i="1"/>
  <c r="L7" i="1"/>
  <c r="K7" i="1"/>
  <c r="J7" i="1"/>
  <c r="H7" i="1"/>
  <c r="G7" i="1"/>
  <c r="E7" i="1"/>
  <c r="D7" i="1"/>
  <c r="O5" i="1"/>
  <c r="N5" i="1"/>
  <c r="M5" i="1"/>
  <c r="L5" i="1"/>
  <c r="K5" i="1"/>
  <c r="J5" i="1"/>
  <c r="H5" i="1"/>
  <c r="G5" i="1"/>
  <c r="E5" i="1"/>
  <c r="D5" i="1"/>
  <c r="I4" i="1"/>
  <c r="F4" i="1"/>
  <c r="C4" i="1"/>
  <c r="B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</author>
    <author>Нодирбек Мовлонов</author>
  </authors>
  <commentList>
    <comment ref="B4" authorId="0" shapeId="0" xr:uid="{00000000-0006-0000-0000-00000A000000}">
      <text>
        <r>
          <rPr>
            <b/>
            <sz val="9"/>
            <rFont val="Tahoma"/>
            <family val="2"/>
            <charset val="204"/>
          </rPr>
          <t>Shavkat Buriev:</t>
        </r>
        <r>
          <rPr>
            <sz val="9"/>
            <rFont val="Tahoma"/>
            <family val="2"/>
            <charset val="204"/>
          </rPr>
          <t xml:space="preserve">
Xammasi Statikdan fakt malumotlar kiritiladi. Ortachasi soraladi</t>
        </r>
      </text>
    </comment>
    <comment ref="C4" authorId="0" shapeId="0" xr:uid="{00000000-0006-0000-0000-00000B000000}">
      <text>
        <r>
          <rPr>
            <b/>
            <sz val="9"/>
            <rFont val="Tahoma"/>
            <family val="2"/>
            <charset val="204"/>
          </rPr>
          <t>Shavkat Buriev:</t>
        </r>
        <r>
          <rPr>
            <sz val="9"/>
            <rFont val="Tahoma"/>
            <family val="2"/>
            <charset val="204"/>
          </rPr>
          <t xml:space="preserve">
Statikdan fakt malumotlar kiritiladi. Topolang Allom aka uchun tashlagani kiritiladi</t>
        </r>
      </text>
    </comment>
    <comment ref="F4" authorId="0" shapeId="0" xr:uid="{00000000-0006-0000-0000-00000C000000}">
      <text>
        <r>
          <rPr>
            <b/>
            <sz val="9"/>
            <rFont val="Tahoma"/>
            <family val="2"/>
            <charset val="204"/>
          </rPr>
          <t>Shavkat Buriev:</t>
        </r>
        <r>
          <rPr>
            <sz val="9"/>
            <rFont val="Tahoma"/>
            <family val="2"/>
            <charset val="204"/>
          </rPr>
          <t xml:space="preserve">
Suv omborlar fakt taxlilni lichkamga tashlaydi. Chorvoqni 00:00 dagi malumot ortacha kelishga kiritiladi.</t>
        </r>
      </text>
    </comment>
    <comment ref="I4" authorId="0" shapeId="0" xr:uid="{00000000-0006-0000-0000-00000D000000}">
      <text>
        <r>
          <rPr>
            <b/>
            <sz val="9"/>
            <rFont val="Tahoma"/>
            <family val="2"/>
            <charset val="204"/>
          </rPr>
          <t>Shavkat Buriev:</t>
        </r>
        <r>
          <rPr>
            <sz val="9"/>
            <rFont val="Tahoma"/>
            <family val="2"/>
            <charset val="204"/>
          </rPr>
          <t xml:space="preserve">
Statikdan fakt malumotlar kiritiladi. </t>
        </r>
      </text>
    </comment>
    <comment ref="A10" authorId="0" shapeId="0" xr:uid="{00000000-0006-0000-0000-000009000000}">
      <text>
        <r>
          <rPr>
            <b/>
            <sz val="9"/>
            <rFont val="Tahoma"/>
            <family val="2"/>
            <charset val="204"/>
          </rPr>
          <t xml:space="preserve">Nodirbek:
STATICdan kiritiladi
</t>
        </r>
      </text>
    </comment>
    <comment ref="A14" authorId="0" shapeId="0" xr:uid="{00000000-0006-0000-0000-000008000000}">
      <text>
        <r>
          <rPr>
            <b/>
            <sz val="9"/>
            <rFont val="Tahoma"/>
            <family val="2"/>
            <charset val="204"/>
          </rPr>
          <t xml:space="preserve">Nodirbek:
Telegramdan yuboradi
</t>
        </r>
      </text>
    </comment>
    <comment ref="A16" authorId="0" shapeId="0" xr:uid="{00000000-0006-0000-0000-000007000000}">
      <text>
        <r>
          <rPr>
            <b/>
            <sz val="9"/>
            <rFont val="Tahoma"/>
            <family val="2"/>
            <charset val="204"/>
          </rPr>
          <t xml:space="preserve">Nodirbek:
STATICdan kiritiladi
</t>
        </r>
      </text>
    </comment>
    <comment ref="A18" authorId="0" shapeId="0" xr:uid="{00000000-0006-0000-0000-000003000000}">
      <text>
        <r>
          <rPr>
            <b/>
            <sz val="9"/>
            <rFont val="Tahoma"/>
            <family val="2"/>
            <charset val="204"/>
          </rPr>
          <t>Shavkat Buriev:</t>
        </r>
        <r>
          <rPr>
            <sz val="9"/>
            <rFont val="Tahoma"/>
            <family val="2"/>
            <charset val="204"/>
          </rPr>
          <t xml:space="preserve">
Tezkordan kiritiladi</t>
        </r>
      </text>
    </comment>
    <comment ref="A22" authorId="0" shapeId="0" xr:uid="{00000000-0006-0000-0000-000006000000}">
      <text>
        <r>
          <rPr>
            <b/>
            <sz val="9"/>
            <rFont val="Tahoma"/>
            <family val="2"/>
            <charset val="204"/>
          </rPr>
          <t>Shavkat Buriev:</t>
        </r>
        <r>
          <rPr>
            <sz val="9"/>
            <rFont val="Tahoma"/>
            <family val="2"/>
            <charset val="204"/>
          </rPr>
          <t xml:space="preserve">
Tezkordan kiritiladi</t>
        </r>
      </text>
    </comment>
    <comment ref="F22" authorId="0" shapeId="0" xr:uid="{00000000-0006-0000-0000-000005000000}">
      <text>
        <r>
          <rPr>
            <b/>
            <sz val="9"/>
            <rFont val="Tahoma"/>
            <family val="2"/>
            <charset val="204"/>
          </rPr>
          <t>Shavkat Buriev:</t>
        </r>
        <r>
          <rPr>
            <sz val="9"/>
            <rFont val="Tahoma"/>
            <family val="2"/>
            <charset val="204"/>
          </rPr>
          <t xml:space="preserve">
Tezkordan kiritiladi</t>
        </r>
      </text>
    </comment>
    <comment ref="I22" authorId="0" shapeId="0" xr:uid="{00000000-0006-0000-0000-000004000000}">
      <text>
        <r>
          <rPr>
            <b/>
            <sz val="9"/>
            <rFont val="Tahoma"/>
            <family val="2"/>
            <charset val="204"/>
          </rPr>
          <t>Shavkat Buriev:</t>
        </r>
        <r>
          <rPr>
            <sz val="9"/>
            <rFont val="Tahoma"/>
            <family val="2"/>
            <charset val="204"/>
          </rPr>
          <t xml:space="preserve">
Tezkordan kiritiladi</t>
        </r>
      </text>
    </comment>
    <comment ref="A26" authorId="1" shapeId="0" xr:uid="{A8C8266F-02DC-4AA4-ACB3-3545B6FF2894}">
      <text>
        <r>
          <rPr>
            <b/>
            <sz val="9"/>
            <color indexed="81"/>
            <rFont val="Tahoma"/>
            <family val="2"/>
            <charset val="204"/>
          </rPr>
          <t>Нодирбек Мовлонов:
Тезкордан 1кун олдинги</t>
        </r>
      </text>
    </comment>
  </commentList>
</comments>
</file>

<file path=xl/sharedStrings.xml><?xml version="1.0" encoding="utf-8"?>
<sst xmlns="http://schemas.openxmlformats.org/spreadsheetml/2006/main" count="70" uniqueCount="50">
  <si>
    <r>
      <t xml:space="preserve">Ўзбекгидроэнерго АЖ бошқарувидаги сув омборларнинг кунлик амалда ишлаши тўғрисида </t>
    </r>
    <r>
      <rPr>
        <b/>
        <u/>
        <sz val="16"/>
        <rFont val="Times New Roman"/>
        <family val="1"/>
        <charset val="204"/>
      </rPr>
      <t>тезкор</t>
    </r>
    <r>
      <rPr>
        <b/>
        <sz val="16"/>
        <rFont val="Times New Roman"/>
        <family val="1"/>
        <charset val="204"/>
      </rPr>
      <t xml:space="preserve"> маълумот</t>
    </r>
  </si>
  <si>
    <t>Сув омборлар
номи</t>
  </si>
  <si>
    <t>сатҳи, м</t>
  </si>
  <si>
    <r>
      <t>ҳажми, млн.м</t>
    </r>
    <r>
      <rPr>
        <b/>
        <vertAlign val="superscript"/>
        <sz val="14"/>
        <rFont val="Times New Roman"/>
        <family val="1"/>
        <charset val="204"/>
      </rPr>
      <t>3</t>
    </r>
  </si>
  <si>
    <r>
      <t>келиши, м</t>
    </r>
    <r>
      <rPr>
        <b/>
        <vertAlign val="superscript"/>
        <sz val="14"/>
        <rFont val="Times New Roman"/>
        <family val="1"/>
        <charset val="204"/>
      </rPr>
      <t>3</t>
    </r>
    <r>
      <rPr>
        <b/>
        <sz val="14"/>
        <rFont val="Times New Roman"/>
        <family val="1"/>
        <charset val="204"/>
      </rPr>
      <t>/сек</t>
    </r>
  </si>
  <si>
    <r>
      <t>чиқиши, м</t>
    </r>
    <r>
      <rPr>
        <b/>
        <vertAlign val="superscript"/>
        <sz val="14"/>
        <rFont val="Times New Roman"/>
        <family val="1"/>
        <charset val="204"/>
      </rPr>
      <t>3</t>
    </r>
    <r>
      <rPr>
        <b/>
        <sz val="14"/>
        <rFont val="Times New Roman"/>
        <family val="1"/>
        <charset val="204"/>
      </rPr>
      <t>/сек</t>
    </r>
  </si>
  <si>
    <r>
      <t>шу кунга оқиб келган сув, млн.м</t>
    </r>
    <r>
      <rPr>
        <b/>
        <vertAlign val="superscript"/>
        <sz val="14"/>
        <rFont val="Times New Roman"/>
        <family val="1"/>
        <charset val="204"/>
      </rPr>
      <t>3</t>
    </r>
  </si>
  <si>
    <t>MODSNOW
қор қоплами, %</t>
  </si>
  <si>
    <t>ўтган йилларда 
шу кунга</t>
  </si>
  <si>
    <t>ўтган йилларда
шу кунга</t>
  </si>
  <si>
    <t>(ўрт)</t>
  </si>
  <si>
    <r>
      <rPr>
        <b/>
        <sz val="14"/>
        <rFont val="Times New Roman"/>
        <family val="1"/>
        <charset val="204"/>
      </rPr>
      <t>Андижон</t>
    </r>
    <r>
      <rPr>
        <sz val="12"/>
        <rFont val="Times New Roman"/>
        <family val="1"/>
        <charset val="204"/>
      </rPr>
      <t xml:space="preserve">
</t>
    </r>
    <r>
      <rPr>
        <i/>
        <sz val="7"/>
        <rFont val="Times New Roman"/>
        <family val="1"/>
        <charset val="204"/>
      </rPr>
      <t xml:space="preserve">(НПУ        906 м, 1900 млн.м3)
(УМО       846 м, 147,5 млн.м3)
(ГЭС-1 мin      852.00 м, ҳажм 214 млн.м3)
(ГЭС-2 мin      852.00  м, ҳажм 214 млн.м3)  </t>
    </r>
    <r>
      <rPr>
        <i/>
        <sz val="8"/>
        <rFont val="Times New Roman"/>
        <family val="1"/>
        <charset val="204"/>
      </rPr>
      <t xml:space="preserve">                          </t>
    </r>
  </si>
  <si>
    <t>+0,20</t>
  </si>
  <si>
    <t>+6,00</t>
  </si>
  <si>
    <t>0,0</t>
  </si>
  <si>
    <r>
      <rPr>
        <b/>
        <sz val="14"/>
        <rFont val="Times New Roman"/>
        <family val="1"/>
        <charset val="204"/>
      </rPr>
      <t>Оҳангарон</t>
    </r>
    <r>
      <rPr>
        <sz val="12"/>
        <rFont val="Times New Roman"/>
        <family val="1"/>
        <charset val="204"/>
      </rPr>
      <t xml:space="preserve">
</t>
    </r>
    <r>
      <rPr>
        <i/>
        <sz val="7"/>
        <rFont val="Times New Roman"/>
        <family val="1"/>
        <charset val="204"/>
      </rPr>
      <t>(НПУ      1070,5 м, 185,5 млн.м3)
(УМО     1010,0 м, 13 млн.м3)
(ГЭС мin     1034.16 м, ҳажм 50,4 млн.м3)</t>
    </r>
  </si>
  <si>
    <t>+0,66</t>
  </si>
  <si>
    <t>+1,51</t>
  </si>
  <si>
    <t xml:space="preserve"> -1,04</t>
  </si>
  <si>
    <r>
      <rPr>
        <b/>
        <sz val="14"/>
        <rFont val="Times New Roman"/>
        <family val="1"/>
        <charset val="204"/>
      </rPr>
      <t>Сардоба</t>
    </r>
    <r>
      <rPr>
        <sz val="12"/>
        <rFont val="Times New Roman"/>
        <family val="1"/>
        <charset val="204"/>
      </rPr>
      <t xml:space="preserve">
</t>
    </r>
    <r>
      <rPr>
        <i/>
        <sz val="7"/>
        <rFont val="Times New Roman"/>
        <family val="1"/>
        <charset val="204"/>
      </rPr>
      <t>(НПУ      289 м, 350 млн.м3)</t>
    </r>
    <r>
      <rPr>
        <sz val="7"/>
        <rFont val="Times New Roman"/>
        <family val="1"/>
        <charset val="204"/>
      </rPr>
      <t xml:space="preserve">
</t>
    </r>
    <r>
      <rPr>
        <i/>
        <sz val="7"/>
        <rFont val="Times New Roman"/>
        <family val="1"/>
        <charset val="204"/>
      </rPr>
      <t>(УМО     277 м, 62 млн.м3)</t>
    </r>
  </si>
  <si>
    <t>+0,08</t>
  </si>
  <si>
    <t>+2,42</t>
  </si>
  <si>
    <r>
      <rPr>
        <b/>
        <sz val="14"/>
        <rFont val="Times New Roman"/>
        <family val="1"/>
        <charset val="204"/>
      </rPr>
      <t>Ҳисорак</t>
    </r>
    <r>
      <rPr>
        <sz val="12"/>
        <rFont val="Times New Roman"/>
        <family val="1"/>
        <charset val="204"/>
      </rPr>
      <t xml:space="preserve">
</t>
    </r>
    <r>
      <rPr>
        <i/>
        <sz val="7"/>
        <rFont val="Times New Roman"/>
        <family val="1"/>
        <charset val="204"/>
      </rPr>
      <t>(НПУ       1118 м, 170 млн.м3)
(УМО      1043,65 м, 22,57 млн.м3)
(ГЭС мin      1068.0 м, ҳажм 38,0 млн.м3)</t>
    </r>
  </si>
  <si>
    <t xml:space="preserve"> -0,04</t>
  </si>
  <si>
    <r>
      <rPr>
        <b/>
        <sz val="14"/>
        <rFont val="Times New Roman"/>
        <family val="1"/>
        <charset val="204"/>
      </rPr>
      <t>Тўполанг</t>
    </r>
    <r>
      <rPr>
        <sz val="12"/>
        <rFont val="Times New Roman"/>
        <family val="1"/>
        <charset val="204"/>
      </rPr>
      <t xml:space="preserve">
</t>
    </r>
    <r>
      <rPr>
        <i/>
        <sz val="7"/>
        <rFont val="Times New Roman"/>
        <family val="1"/>
        <charset val="204"/>
      </rPr>
      <t>(НПУ      960 м, 500 млн.м3)
(УМО     850 м, 30 млн.м3)
(ГЭС мin     884.20 м, ҳажм 100,0 млн.м3)</t>
    </r>
  </si>
  <si>
    <t>+0,09</t>
  </si>
  <si>
    <t>+0,38</t>
  </si>
  <si>
    <t>+1,90</t>
  </si>
  <si>
    <r>
      <rPr>
        <b/>
        <sz val="14"/>
        <rFont val="Times New Roman"/>
        <family val="1"/>
        <charset val="204"/>
      </rPr>
      <t>Чорвоқ</t>
    </r>
    <r>
      <rPr>
        <sz val="12"/>
        <rFont val="Times New Roman"/>
        <family val="1"/>
        <charset val="204"/>
      </rPr>
      <t xml:space="preserve">
</t>
    </r>
    <r>
      <rPr>
        <i/>
        <sz val="7"/>
        <rFont val="Times New Roman"/>
        <family val="1"/>
        <charset val="204"/>
      </rPr>
      <t>(НПУ      890 м, 2006 млн.м3)
(УМО      835 м, 426 млн.м3)
(ГЭС мin      835.00 м, ҳажм 426 млн.м3)</t>
    </r>
  </si>
  <si>
    <t xml:space="preserve"> -0,28</t>
  </si>
  <si>
    <t xml:space="preserve"> -8,40</t>
  </si>
  <si>
    <t xml:space="preserve"> -14,00</t>
  </si>
  <si>
    <t>+83,00</t>
  </si>
  <si>
    <t>Жами</t>
  </si>
  <si>
    <t xml:space="preserve">Пском </t>
  </si>
  <si>
    <t>+1,78</t>
  </si>
  <si>
    <t>Чотқол</t>
  </si>
  <si>
    <t>Вазиятлар маркази тезкор навбатчиси</t>
  </si>
  <si>
    <t>Жами, л/с</t>
  </si>
  <si>
    <t>18.08.23 й</t>
  </si>
  <si>
    <t xml:space="preserve"> +,-</t>
  </si>
  <si>
    <t>меъёр</t>
  </si>
  <si>
    <t>меёър</t>
  </si>
  <si>
    <t>Жами, дона</t>
  </si>
  <si>
    <t xml:space="preserve">Мезон кўрсаткичлари доирасида, аномал кўрсаткичлар мавжуд эмас. </t>
  </si>
  <si>
    <t>босимли</t>
  </si>
  <si>
    <t>босимсиз</t>
  </si>
  <si>
    <t>Вазиятлар маркази 
тезкор навбатчиси</t>
  </si>
  <si>
    <t>RESERVOIR сатҳи - LEVEL м,  ҳажм - VOLUME млн м3</t>
  </si>
  <si>
    <t>Асосий пьезометрлар 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</si>
</sst>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-* #,##0_-;\-* #,##0_-;_-* &quot;-&quot;_-;_-@_-"/>
    <numFmt numFmtId="164" formatCode="[$-419]d\ mmm;@"/>
    <numFmt numFmtId="165" formatCode="0.0"/>
    <numFmt numFmtId="166" formatCode="_-* #\ ##0.00\ _₽_-;\-* #\ ##0.00\ _₽_-;_-* &quot;-&quot;??\ _₽_-;_-@_-"/>
    <numFmt numFmtId="167" formatCode="dd\.mmm"/>
    <numFmt numFmtId="168" formatCode="_-* #,##0.000_-;\-* #,##0.000_-;_-* &quot;-&quot;_-;_-@_-"/>
    <numFmt numFmtId="169" formatCode="dd/mm"/>
    <numFmt numFmtId="170" formatCode="dd\.mm\.yyyy"/>
    <numFmt numFmtId="171" formatCode="[$-419]dd\.mmm"/>
    <numFmt numFmtId="172" formatCode="\+0.00;\-0.00;0"/>
    <numFmt numFmtId="173" formatCode="\+0.0;\-0.0;0"/>
    <numFmt numFmtId="174" formatCode="d\-mmm"/>
    <numFmt numFmtId="175" formatCode="m/d/yyyy"/>
    <numFmt numFmtId="176" formatCode="dd\-mm\-yyyy&quot; йил&quot;"/>
    <numFmt numFmtId="177" formatCode="dd/mm/yy;@"/>
  </numFmts>
  <fonts count="70" x14ac:knownFonts="1">
    <font>
      <sz val="11"/>
      <color rgb="FF000000"/>
      <name val="Calibri"/>
      <family val="2"/>
      <charset val="204"/>
    </font>
    <font>
      <sz val="11"/>
      <color rgb="FF000000"/>
      <name val="Times New Roman"/>
      <family val="1"/>
      <charset val="204"/>
    </font>
    <font>
      <sz val="8"/>
      <color rgb="FF000000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b/>
      <sz val="14"/>
      <color rgb="FF002060"/>
      <name val="Calibri"/>
      <family val="2"/>
      <charset val="204"/>
    </font>
    <font>
      <b/>
      <sz val="12"/>
      <color rgb="FFFF0000"/>
      <name val="Times New Roman"/>
      <family val="1"/>
      <charset val="204"/>
    </font>
    <font>
      <b/>
      <sz val="16"/>
      <color rgb="FFFF0000"/>
      <name val="Calibri"/>
      <family val="2"/>
      <charset val="204"/>
    </font>
    <font>
      <sz val="14"/>
      <color rgb="FF000000"/>
      <name val="Calibri"/>
      <family val="2"/>
      <charset val="204"/>
    </font>
    <font>
      <b/>
      <sz val="16"/>
      <color rgb="FF002060"/>
      <name val="Calibri"/>
      <family val="2"/>
      <charset val="204"/>
    </font>
    <font>
      <sz val="11"/>
      <color rgb="FFFFFF00"/>
      <name val="Times New Roman"/>
      <family val="1"/>
      <charset val="204"/>
    </font>
    <font>
      <sz val="8"/>
      <color rgb="FFFFFF00"/>
      <name val="Times New Roman"/>
      <family val="1"/>
      <charset val="204"/>
    </font>
    <font>
      <sz val="12"/>
      <color rgb="FFFFFF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6"/>
      <color rgb="FF000000"/>
      <name val="Times New Roman"/>
      <family val="1"/>
      <charset val="204"/>
    </font>
    <font>
      <sz val="13"/>
      <color rgb="FF000000"/>
      <name val="Times New Roman"/>
      <family val="1"/>
      <charset val="204"/>
    </font>
    <font>
      <b/>
      <sz val="11"/>
      <color rgb="FFFF0000"/>
      <name val="Times New Roman"/>
      <family val="1"/>
      <charset val="204"/>
    </font>
    <font>
      <b/>
      <sz val="16"/>
      <color rgb="FF002060"/>
      <name val="Times New Roman"/>
      <family val="1"/>
      <charset val="204"/>
    </font>
    <font>
      <sz val="11"/>
      <color rgb="FF00B0F0"/>
      <name val="Times New Roman"/>
      <family val="1"/>
      <charset val="204"/>
    </font>
    <font>
      <b/>
      <i/>
      <sz val="12"/>
      <color rgb="FF000000"/>
      <name val="Times New Roman"/>
      <family val="1"/>
      <charset val="204"/>
    </font>
    <font>
      <i/>
      <sz val="10"/>
      <color rgb="FFFF0000"/>
      <name val="Times New Roman"/>
      <family val="1"/>
      <charset val="204"/>
    </font>
    <font>
      <i/>
      <sz val="9"/>
      <color rgb="FF000000"/>
      <name val="Times New Roman"/>
      <family val="1"/>
      <charset val="204"/>
    </font>
    <font>
      <i/>
      <sz val="14"/>
      <color rgb="FF000000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i/>
      <sz val="12"/>
      <color rgb="FF000000"/>
      <name val="Times New Roman"/>
      <family val="1"/>
      <charset val="204"/>
    </font>
    <font>
      <b/>
      <sz val="16"/>
      <color rgb="FF000000"/>
      <name val="Times New Roman"/>
      <family val="1"/>
      <charset val="204"/>
    </font>
    <font>
      <i/>
      <sz val="9"/>
      <color rgb="FFFF0000"/>
      <name val="Times New Roman"/>
      <family val="1"/>
      <charset val="204"/>
    </font>
    <font>
      <b/>
      <i/>
      <sz val="14"/>
      <color rgb="FF000000"/>
      <name val="Times New Roman"/>
      <family val="1"/>
      <charset val="204"/>
    </font>
    <font>
      <b/>
      <sz val="13"/>
      <color rgb="FF00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b/>
      <sz val="14"/>
      <color rgb="FFFF0000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sz val="8"/>
      <color rgb="FFFF0000"/>
      <name val="Times New Roman"/>
      <family val="1"/>
      <charset val="204"/>
    </font>
    <font>
      <sz val="11"/>
      <color rgb="FFFF0000"/>
      <name val="Times New Roman"/>
      <family val="1"/>
      <charset val="204"/>
    </font>
    <font>
      <i/>
      <sz val="11"/>
      <color rgb="FF000000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b/>
      <sz val="9"/>
      <color rgb="FF000000"/>
      <name val="Times New Roman"/>
      <family val="1"/>
      <charset val="204"/>
    </font>
    <font>
      <b/>
      <sz val="8"/>
      <color rgb="FF000000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9"/>
      <color rgb="FF000000"/>
      <name val="Times New Roman"/>
      <family val="1"/>
      <charset val="204"/>
    </font>
    <font>
      <b/>
      <sz val="10"/>
      <color rgb="FFFF0000"/>
      <name val="Times New Roman"/>
      <family val="1"/>
      <charset val="204"/>
    </font>
    <font>
      <b/>
      <sz val="9"/>
      <color rgb="FFFF0000"/>
      <name val="Times New Roman"/>
      <family val="1"/>
      <charset val="204"/>
    </font>
    <font>
      <b/>
      <sz val="8"/>
      <color rgb="FFFF0000"/>
      <name val="Times New Roman"/>
      <family val="1"/>
      <charset val="204"/>
    </font>
    <font>
      <b/>
      <i/>
      <sz val="16"/>
      <color rgb="FFFFFF00"/>
      <name val="Times New Roman"/>
      <family val="1"/>
      <charset val="204"/>
    </font>
    <font>
      <b/>
      <sz val="16"/>
      <color rgb="FFFF0000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b/>
      <sz val="28"/>
      <color rgb="FFFF0000"/>
      <name val="Times New Roman"/>
      <family val="1"/>
      <charset val="204"/>
    </font>
    <font>
      <b/>
      <i/>
      <sz val="13"/>
      <color rgb="FF000000"/>
      <name val="Times New Roman"/>
      <family val="1"/>
      <charset val="204"/>
    </font>
    <font>
      <sz val="11"/>
      <color rgb="FF000000"/>
      <name val="Calibri"/>
      <family val="2"/>
      <charset val="204"/>
    </font>
    <font>
      <b/>
      <u/>
      <sz val="16"/>
      <name val="Times New Roman"/>
      <family val="1"/>
      <charset val="204"/>
    </font>
    <font>
      <b/>
      <sz val="16"/>
      <name val="Times New Roman"/>
      <family val="1"/>
      <charset val="204"/>
    </font>
    <font>
      <b/>
      <vertAlign val="superscript"/>
      <sz val="14"/>
      <name val="Times New Roman"/>
      <family val="1"/>
      <charset val="204"/>
    </font>
    <font>
      <b/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7"/>
      <name val="Times New Roman"/>
      <family val="1"/>
      <charset val="204"/>
    </font>
    <font>
      <i/>
      <sz val="8"/>
      <name val="Times New Roman"/>
      <family val="1"/>
      <charset val="204"/>
    </font>
    <font>
      <sz val="7"/>
      <name val="Times New Roman"/>
      <family val="1"/>
      <charset val="204"/>
    </font>
    <font>
      <b/>
      <sz val="9"/>
      <name val="Tahoma"/>
      <family val="2"/>
      <charset val="204"/>
    </font>
    <font>
      <sz val="9"/>
      <name val="Tahoma"/>
      <family val="2"/>
      <charset val="204"/>
    </font>
    <font>
      <b/>
      <sz val="14"/>
      <color theme="1"/>
      <name val="Times New Roman"/>
      <family val="1"/>
      <charset val="204"/>
    </font>
    <font>
      <b/>
      <sz val="9"/>
      <color indexed="81"/>
      <name val="Tahoma"/>
      <family val="2"/>
      <charset val="204"/>
    </font>
    <font>
      <b/>
      <sz val="12"/>
      <color theme="1"/>
      <name val="Times New Roman"/>
      <family val="1"/>
      <charset val="204"/>
    </font>
    <font>
      <b/>
      <i/>
      <sz val="12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b/>
      <sz val="12"/>
      <color rgb="FFC00000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C00000"/>
      <name val="Times New Roman"/>
      <family val="1"/>
      <charset val="204"/>
    </font>
    <font>
      <sz val="12"/>
      <color rgb="FF0070C0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sz val="8"/>
      <name val="Calibri"/>
      <family val="2"/>
      <charset val="204"/>
    </font>
  </fonts>
  <fills count="2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FFFFFF"/>
      </patternFill>
    </fill>
    <fill>
      <patternFill patternType="solid">
        <fgColor rgb="FFDDEBF7"/>
        <bgColor rgb="FFFFFFFF"/>
      </patternFill>
    </fill>
    <fill>
      <patternFill patternType="solid">
        <fgColor rgb="FFD8D8D8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DDEBF7"/>
        <bgColor rgb="FFFFFFFF"/>
      </patternFill>
    </fill>
    <fill>
      <patternFill patternType="solid">
        <fgColor rgb="FFDDEBF7"/>
        <bgColor rgb="FFFFFFFF"/>
      </patternFill>
    </fill>
    <fill>
      <patternFill patternType="solid">
        <fgColor rgb="FFDDEBF7"/>
        <bgColor rgb="FFFFFFFF"/>
      </patternFill>
    </fill>
    <fill>
      <patternFill patternType="solid">
        <fgColor rgb="FFD8D8D8"/>
        <bgColor rgb="FFFFFFFF"/>
      </patternFill>
    </fill>
    <fill>
      <patternFill patternType="solid">
        <fgColor rgb="FFD8D8D8"/>
        <bgColor rgb="FFFFFFFF"/>
      </patternFill>
    </fill>
    <fill>
      <patternFill patternType="solid">
        <fgColor rgb="FFDDEBF7"/>
        <bgColor rgb="FFFFFFFF"/>
      </patternFill>
    </fill>
    <fill>
      <patternFill patternType="solid">
        <fgColor rgb="FFDDEBF7"/>
        <bgColor rgb="FFFFFFFF"/>
      </patternFill>
    </fill>
    <fill>
      <patternFill patternType="solid">
        <fgColor rgb="FFDDEBF7"/>
        <bgColor rgb="FFFFFFFF"/>
      </patternFill>
    </fill>
    <fill>
      <patternFill patternType="solid">
        <fgColor rgb="FFDDEBF7"/>
        <bgColor rgb="FFFFFFFF"/>
      </patternFill>
    </fill>
    <fill>
      <patternFill patternType="solid">
        <fgColor rgb="FFDDEBF7"/>
        <bgColor rgb="FFFFFFFF"/>
      </patternFill>
    </fill>
    <fill>
      <patternFill patternType="solid">
        <fgColor rgb="FFDDEBF7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3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41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0" fontId="48" fillId="0" borderId="0"/>
    <xf numFmtId="166" fontId="48" fillId="0" borderId="0" applyFont="0" applyFill="0" applyBorder="0" applyAlignment="0" applyProtection="0"/>
    <xf numFmtId="0" fontId="48" fillId="0" borderId="0"/>
  </cellStyleXfs>
  <cellXfs count="189">
    <xf numFmtId="0" fontId="0" fillId="0" borderId="0" xfId="0"/>
    <xf numFmtId="0" fontId="1" fillId="2" borderId="1" xfId="3" applyFont="1" applyFill="1" applyBorder="1"/>
    <xf numFmtId="0" fontId="2" fillId="2" borderId="1" xfId="3" applyFont="1" applyFill="1" applyBorder="1"/>
    <xf numFmtId="0" fontId="1" fillId="2" borderId="1" xfId="3" applyFont="1" applyFill="1" applyBorder="1" applyAlignment="1">
      <alignment horizontal="center" vertical="center"/>
    </xf>
    <xf numFmtId="0" fontId="1" fillId="2" borderId="1" xfId="3" applyFont="1" applyFill="1" applyBorder="1" applyProtection="1">
      <protection locked="0"/>
    </xf>
    <xf numFmtId="0" fontId="1" fillId="2" borderId="1" xfId="3" applyFont="1" applyFill="1" applyBorder="1" applyAlignment="1" applyProtection="1">
      <alignment horizontal="center" vertical="center"/>
      <protection locked="0"/>
    </xf>
    <xf numFmtId="0" fontId="2" fillId="2" borderId="1" xfId="3" applyFont="1" applyFill="1" applyBorder="1" applyProtection="1">
      <protection locked="0"/>
    </xf>
    <xf numFmtId="0" fontId="1" fillId="2" borderId="1" xfId="3" applyFont="1" applyFill="1" applyBorder="1" applyAlignment="1">
      <alignment horizontal="center" vertical="center" wrapText="1"/>
    </xf>
    <xf numFmtId="0" fontId="3" fillId="2" borderId="1" xfId="3" applyFont="1" applyFill="1" applyBorder="1" applyAlignment="1">
      <alignment horizontal="center" wrapText="1"/>
    </xf>
    <xf numFmtId="0" fontId="3" fillId="2" borderId="1" xfId="3" applyFont="1" applyFill="1" applyBorder="1" applyAlignment="1" applyProtection="1">
      <alignment horizontal="center" wrapText="1"/>
      <protection locked="0"/>
    </xf>
    <xf numFmtId="164" fontId="5" fillId="2" borderId="1" xfId="3" applyNumberFormat="1" applyFont="1" applyFill="1" applyBorder="1" applyAlignment="1">
      <alignment horizontal="center" wrapText="1"/>
    </xf>
    <xf numFmtId="2" fontId="4" fillId="0" borderId="0" xfId="0" applyNumberFormat="1" applyFont="1" applyAlignment="1" applyProtection="1">
      <alignment vertical="center" wrapText="1"/>
      <protection locked="0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1" fontId="1" fillId="2" borderId="1" xfId="3" applyNumberFormat="1" applyFont="1" applyFill="1" applyBorder="1" applyAlignment="1">
      <alignment horizontal="center" vertical="center"/>
    </xf>
    <xf numFmtId="1" fontId="1" fillId="2" borderId="1" xfId="3" applyNumberFormat="1" applyFont="1" applyFill="1" applyBorder="1" applyAlignment="1">
      <alignment horizontal="center" vertical="center" wrapText="1"/>
    </xf>
    <xf numFmtId="0" fontId="3" fillId="2" borderId="1" xfId="3" applyFont="1" applyFill="1" applyBorder="1" applyAlignment="1" applyProtection="1">
      <alignment horizontal="center" vertical="center" wrapText="1"/>
      <protection locked="0"/>
    </xf>
    <xf numFmtId="2" fontId="1" fillId="2" borderId="1" xfId="3" applyNumberFormat="1" applyFont="1" applyFill="1" applyBorder="1" applyAlignment="1">
      <alignment horizontal="center" vertical="center"/>
    </xf>
    <xf numFmtId="2" fontId="1" fillId="2" borderId="1" xfId="3" applyNumberFormat="1" applyFont="1" applyFill="1" applyBorder="1" applyAlignment="1">
      <alignment horizontal="center" vertical="center" wrapText="1"/>
    </xf>
    <xf numFmtId="0" fontId="8" fillId="2" borderId="1" xfId="3" applyFont="1" applyFill="1" applyBorder="1" applyAlignment="1" applyProtection="1">
      <alignment horizontal="left"/>
      <protection locked="0"/>
    </xf>
    <xf numFmtId="0" fontId="48" fillId="2" borderId="1" xfId="3" applyFill="1" applyBorder="1" applyAlignment="1" applyProtection="1">
      <alignment horizontal="left"/>
      <protection locked="0"/>
    </xf>
    <xf numFmtId="165" fontId="8" fillId="2" borderId="1" xfId="3" applyNumberFormat="1" applyFont="1" applyFill="1" applyBorder="1" applyAlignment="1" applyProtection="1">
      <alignment horizontal="left"/>
      <protection locked="0"/>
    </xf>
    <xf numFmtId="2" fontId="1" fillId="2" borderId="1" xfId="3" applyNumberFormat="1" applyFont="1" applyFill="1" applyBorder="1" applyAlignment="1" applyProtection="1">
      <alignment horizontal="center" vertical="center"/>
      <protection locked="0"/>
    </xf>
    <xf numFmtId="165" fontId="1" fillId="2" borderId="1" xfId="3" applyNumberFormat="1" applyFont="1" applyFill="1" applyBorder="1" applyProtection="1">
      <protection locked="0"/>
    </xf>
    <xf numFmtId="2" fontId="1" fillId="2" borderId="1" xfId="3" applyNumberFormat="1" applyFont="1" applyFill="1" applyBorder="1" applyProtection="1">
      <protection locked="0"/>
    </xf>
    <xf numFmtId="0" fontId="9" fillId="2" borderId="1" xfId="3" applyFont="1" applyFill="1" applyBorder="1"/>
    <xf numFmtId="0" fontId="9" fillId="2" borderId="1" xfId="3" applyFont="1" applyFill="1" applyBorder="1" applyProtection="1">
      <protection locked="0"/>
    </xf>
    <xf numFmtId="0" fontId="10" fillId="2" borderId="1" xfId="3" applyFont="1" applyFill="1" applyBorder="1" applyProtection="1">
      <protection locked="0"/>
    </xf>
    <xf numFmtId="2" fontId="8" fillId="0" borderId="0" xfId="0" applyNumberFormat="1" applyFont="1" applyAlignment="1" applyProtection="1">
      <alignment horizontal="left" vertical="center"/>
      <protection locked="0"/>
    </xf>
    <xf numFmtId="9" fontId="11" fillId="2" borderId="1" xfId="2" applyFont="1" applyFill="1" applyBorder="1" applyAlignment="1">
      <alignment horizontal="center" vertical="center"/>
    </xf>
    <xf numFmtId="165" fontId="11" fillId="2" borderId="1" xfId="3" applyNumberFormat="1" applyFont="1" applyFill="1" applyBorder="1" applyAlignment="1">
      <alignment horizontal="center" vertical="center"/>
    </xf>
    <xf numFmtId="165" fontId="12" fillId="2" borderId="1" xfId="3" applyNumberFormat="1" applyFont="1" applyFill="1" applyBorder="1" applyAlignment="1">
      <alignment horizontal="center" vertical="center"/>
    </xf>
    <xf numFmtId="2" fontId="11" fillId="2" borderId="1" xfId="3" applyNumberFormat="1" applyFont="1" applyFill="1" applyBorder="1" applyAlignment="1">
      <alignment horizontal="center" vertical="center"/>
    </xf>
    <xf numFmtId="2" fontId="11" fillId="2" borderId="1" xfId="4" applyNumberFormat="1" applyFont="1" applyFill="1" applyBorder="1" applyAlignment="1">
      <alignment horizontal="center" vertical="center"/>
    </xf>
    <xf numFmtId="0" fontId="13" fillId="2" borderId="1" xfId="3" applyFont="1" applyFill="1" applyBorder="1" applyAlignment="1">
      <alignment horizontal="center" vertical="center"/>
    </xf>
    <xf numFmtId="2" fontId="14" fillId="2" borderId="1" xfId="3" applyNumberFormat="1" applyFont="1" applyFill="1" applyBorder="1" applyAlignment="1" applyProtection="1">
      <alignment horizontal="center" vertical="center" wrapText="1"/>
      <protection locked="0"/>
    </xf>
    <xf numFmtId="165" fontId="15" fillId="2" borderId="1" xfId="2" applyNumberFormat="1" applyFont="1" applyFill="1" applyBorder="1" applyAlignment="1" applyProtection="1">
      <alignment horizontal="center" vertical="center"/>
      <protection locked="0"/>
    </xf>
    <xf numFmtId="0" fontId="16" fillId="2" borderId="1" xfId="3" applyFont="1" applyFill="1" applyBorder="1" applyProtection="1">
      <protection locked="0"/>
    </xf>
    <xf numFmtId="0" fontId="8" fillId="2" borderId="1" xfId="3" applyFont="1" applyFill="1" applyBorder="1" applyProtection="1">
      <protection locked="0"/>
    </xf>
    <xf numFmtId="174" fontId="1" fillId="2" borderId="1" xfId="3" applyNumberFormat="1" applyFont="1" applyFill="1" applyBorder="1" applyAlignment="1" applyProtection="1">
      <alignment horizontal="center" vertical="center"/>
      <protection locked="0"/>
    </xf>
    <xf numFmtId="174" fontId="1" fillId="2" borderId="1" xfId="2" applyNumberFormat="1" applyFont="1" applyFill="1" applyBorder="1" applyAlignment="1" applyProtection="1">
      <alignment horizontal="center" vertical="center"/>
      <protection locked="0"/>
    </xf>
    <xf numFmtId="0" fontId="8" fillId="2" borderId="1" xfId="3" applyFont="1" applyFill="1" applyBorder="1" applyAlignment="1" applyProtection="1">
      <alignment vertical="center"/>
      <protection locked="0"/>
    </xf>
    <xf numFmtId="0" fontId="48" fillId="2" borderId="1" xfId="3" applyFill="1" applyBorder="1" applyAlignment="1" applyProtection="1">
      <alignment vertical="center"/>
      <protection locked="0"/>
    </xf>
    <xf numFmtId="165" fontId="16" fillId="2" borderId="1" xfId="3" applyNumberFormat="1" applyFont="1" applyFill="1" applyBorder="1" applyProtection="1">
      <protection locked="0"/>
    </xf>
    <xf numFmtId="165" fontId="8" fillId="2" borderId="1" xfId="3" applyNumberFormat="1" applyFont="1" applyFill="1" applyBorder="1" applyProtection="1">
      <protection locked="0"/>
    </xf>
    <xf numFmtId="2" fontId="15" fillId="2" borderId="1" xfId="2" applyNumberFormat="1" applyFont="1" applyFill="1" applyBorder="1" applyAlignment="1" applyProtection="1">
      <alignment horizontal="center" vertical="center"/>
      <protection locked="0"/>
    </xf>
    <xf numFmtId="9" fontId="11" fillId="2" borderId="1" xfId="2" applyFont="1" applyFill="1" applyBorder="1" applyAlignment="1" applyProtection="1">
      <alignment horizontal="center" vertical="center"/>
      <protection locked="0"/>
    </xf>
    <xf numFmtId="0" fontId="17" fillId="2" borderId="1" xfId="3" applyFont="1" applyFill="1" applyBorder="1" applyProtection="1">
      <protection locked="0"/>
    </xf>
    <xf numFmtId="2" fontId="8" fillId="0" borderId="0" xfId="0" applyNumberFormat="1" applyFont="1" applyAlignment="1" applyProtection="1">
      <alignment vertical="center"/>
      <protection locked="0"/>
    </xf>
    <xf numFmtId="0" fontId="12" fillId="2" borderId="1" xfId="3" applyFont="1" applyFill="1" applyBorder="1"/>
    <xf numFmtId="2" fontId="8" fillId="0" borderId="0" xfId="0" applyNumberFormat="1" applyFont="1" applyProtection="1">
      <protection locked="0"/>
    </xf>
    <xf numFmtId="0" fontId="12" fillId="2" borderId="1" xfId="3" applyFont="1" applyFill="1" applyBorder="1" applyProtection="1">
      <protection locked="0"/>
    </xf>
    <xf numFmtId="49" fontId="19" fillId="0" borderId="0" xfId="3" applyNumberFormat="1" applyFont="1" applyAlignment="1" applyProtection="1">
      <alignment horizontal="center" vertical="center"/>
      <protection locked="0"/>
    </xf>
    <xf numFmtId="49" fontId="20" fillId="2" borderId="1" xfId="3" applyNumberFormat="1" applyFont="1" applyFill="1" applyBorder="1" applyAlignment="1" applyProtection="1">
      <alignment horizontal="center" vertical="center" wrapText="1"/>
      <protection locked="0"/>
    </xf>
    <xf numFmtId="49" fontId="20" fillId="2" borderId="1" xfId="3" applyNumberFormat="1" applyFont="1" applyFill="1" applyBorder="1" applyAlignment="1" applyProtection="1">
      <alignment horizontal="center" vertical="center"/>
      <protection locked="0"/>
    </xf>
    <xf numFmtId="0" fontId="21" fillId="2" borderId="1" xfId="3" applyFont="1" applyFill="1" applyBorder="1" applyAlignment="1" applyProtection="1">
      <alignment horizontal="left" vertical="center" wrapText="1"/>
      <protection locked="0"/>
    </xf>
    <xf numFmtId="174" fontId="22" fillId="2" borderId="1" xfId="3" applyNumberFormat="1" applyFont="1" applyFill="1" applyBorder="1" applyAlignment="1" applyProtection="1">
      <alignment horizontal="center" vertical="center"/>
      <protection locked="0"/>
    </xf>
    <xf numFmtId="2" fontId="12" fillId="2" borderId="1" xfId="3" applyNumberFormat="1" applyFont="1" applyFill="1" applyBorder="1"/>
    <xf numFmtId="165" fontId="23" fillId="2" borderId="1" xfId="3" applyNumberFormat="1" applyFont="1" applyFill="1" applyBorder="1" applyAlignment="1" applyProtection="1">
      <alignment vertical="center"/>
      <protection locked="0"/>
    </xf>
    <xf numFmtId="2" fontId="12" fillId="2" borderId="1" xfId="3" applyNumberFormat="1" applyFont="1" applyFill="1" applyBorder="1" applyProtection="1">
      <protection locked="0"/>
    </xf>
    <xf numFmtId="2" fontId="2" fillId="2" borderId="1" xfId="3" applyNumberFormat="1" applyFont="1" applyFill="1" applyBorder="1" applyProtection="1">
      <protection locked="0"/>
    </xf>
    <xf numFmtId="0" fontId="24" fillId="2" borderId="1" xfId="3" applyFont="1" applyFill="1" applyBorder="1" applyAlignment="1" applyProtection="1">
      <alignment vertical="center" wrapText="1"/>
      <protection locked="0"/>
    </xf>
    <xf numFmtId="49" fontId="20" fillId="0" borderId="0" xfId="3" applyNumberFormat="1" applyFont="1" applyAlignment="1" applyProtection="1">
      <alignment horizontal="center" vertical="center" wrapText="1"/>
      <protection locked="0"/>
    </xf>
    <xf numFmtId="49" fontId="25" fillId="0" borderId="0" xfId="3" applyNumberFormat="1" applyFont="1" applyAlignment="1" applyProtection="1">
      <alignment horizontal="center" vertical="center" wrapText="1"/>
      <protection locked="0"/>
    </xf>
    <xf numFmtId="2" fontId="0" fillId="0" borderId="0" xfId="0" applyNumberFormat="1" applyProtection="1">
      <protection locked="0"/>
    </xf>
    <xf numFmtId="2" fontId="0" fillId="0" borderId="0" xfId="0" applyNumberFormat="1" applyAlignment="1" applyProtection="1">
      <alignment horizontal="center" vertical="center"/>
      <protection locked="0"/>
    </xf>
    <xf numFmtId="165" fontId="14" fillId="3" borderId="2" xfId="3" applyNumberFormat="1" applyFont="1" applyFill="1" applyBorder="1" applyAlignment="1" applyProtection="1">
      <alignment horizontal="center" vertical="center" wrapText="1"/>
      <protection locked="0"/>
    </xf>
    <xf numFmtId="165" fontId="27" fillId="4" borderId="3" xfId="3" applyNumberFormat="1" applyFont="1" applyFill="1" applyBorder="1" applyAlignment="1" applyProtection="1">
      <alignment horizontal="center" vertical="center" wrapText="1"/>
      <protection locked="0"/>
    </xf>
    <xf numFmtId="2" fontId="29" fillId="2" borderId="1" xfId="3" applyNumberFormat="1" applyFont="1" applyFill="1" applyBorder="1" applyAlignment="1" applyProtection="1">
      <alignment vertical="center"/>
      <protection locked="0"/>
    </xf>
    <xf numFmtId="165" fontId="23" fillId="2" borderId="1" xfId="3" applyNumberFormat="1" applyFont="1" applyFill="1" applyBorder="1" applyAlignment="1" applyProtection="1">
      <alignment horizontal="center" vertical="center"/>
      <protection locked="0"/>
    </xf>
    <xf numFmtId="2" fontId="30" fillId="2" borderId="1" xfId="3" applyNumberFormat="1" applyFont="1" applyFill="1" applyBorder="1"/>
    <xf numFmtId="1" fontId="30" fillId="2" borderId="1" xfId="3" applyNumberFormat="1" applyFont="1" applyFill="1" applyBorder="1"/>
    <xf numFmtId="2" fontId="30" fillId="2" borderId="1" xfId="3" applyNumberFormat="1" applyFont="1" applyFill="1" applyBorder="1" applyProtection="1">
      <protection locked="0"/>
    </xf>
    <xf numFmtId="2" fontId="31" fillId="2" borderId="1" xfId="3" applyNumberFormat="1" applyFont="1" applyFill="1" applyBorder="1" applyProtection="1">
      <protection locked="0"/>
    </xf>
    <xf numFmtId="2" fontId="23" fillId="2" borderId="1" xfId="3" applyNumberFormat="1" applyFont="1" applyFill="1" applyBorder="1" applyAlignment="1" applyProtection="1">
      <alignment horizontal="center" vertical="center"/>
      <protection locked="0"/>
    </xf>
    <xf numFmtId="0" fontId="32" fillId="2" borderId="1" xfId="3" applyFont="1" applyFill="1" applyBorder="1"/>
    <xf numFmtId="0" fontId="32" fillId="2" borderId="1" xfId="3" applyFont="1" applyFill="1" applyBorder="1" applyProtection="1">
      <protection locked="0"/>
    </xf>
    <xf numFmtId="0" fontId="31" fillId="2" borderId="1" xfId="3" applyFont="1" applyFill="1" applyBorder="1" applyProtection="1">
      <protection locked="0"/>
    </xf>
    <xf numFmtId="0" fontId="5" fillId="2" borderId="1" xfId="2" applyNumberFormat="1" applyFont="1" applyFill="1" applyBorder="1" applyAlignment="1" applyProtection="1">
      <alignment horizontal="center" vertical="center"/>
      <protection locked="0"/>
    </xf>
    <xf numFmtId="165" fontId="33" fillId="2" borderId="1" xfId="3" applyNumberFormat="1" applyFont="1" applyFill="1" applyBorder="1" applyAlignment="1" applyProtection="1">
      <alignment horizontal="center" vertical="center"/>
      <protection locked="0"/>
    </xf>
    <xf numFmtId="165" fontId="34" fillId="8" borderId="7" xfId="2" applyNumberFormat="1" applyFont="1" applyFill="1" applyBorder="1" applyAlignment="1" applyProtection="1">
      <alignment horizontal="center" vertical="center" wrapText="1"/>
      <protection locked="0"/>
    </xf>
    <xf numFmtId="165" fontId="19" fillId="8" borderId="7" xfId="3" applyNumberFormat="1" applyFont="1" applyFill="1" applyBorder="1" applyAlignment="1" applyProtection="1">
      <alignment horizontal="center" vertical="center"/>
      <protection locked="0"/>
    </xf>
    <xf numFmtId="9" fontId="19" fillId="8" borderId="7" xfId="2" applyFont="1" applyFill="1" applyBorder="1" applyAlignment="1" applyProtection="1">
      <alignment horizontal="center" vertical="center" wrapText="1"/>
      <protection locked="0"/>
    </xf>
    <xf numFmtId="2" fontId="1" fillId="2" borderId="1" xfId="3" applyNumberFormat="1" applyFont="1" applyFill="1" applyBorder="1"/>
    <xf numFmtId="2" fontId="36" fillId="2" borderId="1" xfId="2" applyNumberFormat="1" applyFont="1" applyFill="1" applyBorder="1" applyAlignment="1" applyProtection="1">
      <alignment horizontal="center" vertical="center"/>
      <protection locked="0"/>
    </xf>
    <xf numFmtId="2" fontId="37" fillId="2" borderId="1" xfId="2" applyNumberFormat="1" applyFont="1" applyFill="1" applyBorder="1" applyAlignment="1" applyProtection="1">
      <alignment horizontal="center" vertical="center"/>
      <protection locked="0"/>
    </xf>
    <xf numFmtId="2" fontId="38" fillId="2" borderId="1" xfId="2" applyNumberFormat="1" applyFont="1" applyFill="1" applyBorder="1" applyAlignment="1" applyProtection="1">
      <alignment horizontal="center" vertical="center"/>
      <protection locked="0"/>
    </xf>
    <xf numFmtId="2" fontId="33" fillId="2" borderId="1" xfId="3" applyNumberFormat="1" applyFont="1" applyFill="1" applyBorder="1" applyAlignment="1" applyProtection="1">
      <alignment horizontal="center" vertical="center"/>
      <protection locked="0"/>
    </xf>
    <xf numFmtId="2" fontId="26" fillId="2" borderId="1" xfId="3" applyNumberFormat="1" applyFont="1" applyFill="1" applyBorder="1" applyAlignment="1" applyProtection="1">
      <alignment horizontal="center" vertical="center"/>
      <protection locked="0"/>
    </xf>
    <xf numFmtId="2" fontId="27" fillId="4" borderId="3" xfId="3" applyNumberFormat="1" applyFont="1" applyFill="1" applyBorder="1" applyAlignment="1" applyProtection="1">
      <alignment horizontal="center" vertical="center" wrapText="1"/>
      <protection locked="0"/>
    </xf>
    <xf numFmtId="165" fontId="14" fillId="5" borderId="4" xfId="3" applyNumberFormat="1" applyFont="1" applyFill="1" applyBorder="1" applyAlignment="1" applyProtection="1">
      <alignment horizontal="center" vertical="center" wrapText="1"/>
      <protection locked="0"/>
    </xf>
    <xf numFmtId="165" fontId="14" fillId="6" borderId="5" xfId="3" applyNumberFormat="1" applyFont="1" applyFill="1" applyBorder="1" applyAlignment="1" applyProtection="1">
      <alignment horizontal="center" vertical="center" wrapText="1"/>
      <protection locked="0"/>
    </xf>
    <xf numFmtId="174" fontId="39" fillId="2" borderId="1" xfId="2" applyNumberFormat="1" applyFont="1" applyFill="1" applyBorder="1" applyAlignment="1" applyProtection="1">
      <alignment horizontal="center" vertical="center"/>
      <protection locked="0"/>
    </xf>
    <xf numFmtId="174" fontId="2" fillId="2" borderId="1" xfId="2" applyNumberFormat="1" applyFont="1" applyFill="1" applyBorder="1" applyAlignment="1" applyProtection="1">
      <alignment horizontal="center" vertical="center"/>
      <protection locked="0"/>
    </xf>
    <xf numFmtId="165" fontId="40" fillId="2" borderId="1" xfId="2" applyNumberFormat="1" applyFont="1" applyFill="1" applyBorder="1" applyAlignment="1" applyProtection="1">
      <alignment vertical="center"/>
      <protection locked="0"/>
    </xf>
    <xf numFmtId="2" fontId="32" fillId="2" borderId="1" xfId="3" applyNumberFormat="1" applyFont="1" applyFill="1" applyBorder="1"/>
    <xf numFmtId="2" fontId="41" fillId="2" borderId="1" xfId="2" applyNumberFormat="1" applyFont="1" applyFill="1" applyBorder="1" applyAlignment="1" applyProtection="1">
      <alignment horizontal="center" vertical="center"/>
      <protection locked="0"/>
    </xf>
    <xf numFmtId="2" fontId="42" fillId="2" borderId="1" xfId="2" applyNumberFormat="1" applyFont="1" applyFill="1" applyBorder="1" applyAlignment="1" applyProtection="1">
      <alignment horizontal="center" vertical="center"/>
      <protection locked="0"/>
    </xf>
    <xf numFmtId="2" fontId="40" fillId="2" borderId="1" xfId="2" applyNumberFormat="1" applyFont="1" applyFill="1" applyBorder="1" applyAlignment="1" applyProtection="1">
      <alignment horizontal="center" vertical="center"/>
      <protection locked="0"/>
    </xf>
    <xf numFmtId="0" fontId="5" fillId="2" borderId="1" xfId="3" applyFont="1" applyFill="1" applyBorder="1" applyAlignment="1" applyProtection="1">
      <alignment horizontal="center" vertical="center"/>
      <protection locked="0"/>
    </xf>
    <xf numFmtId="2" fontId="43" fillId="2" borderId="1" xfId="3" applyNumberFormat="1" applyFont="1" applyFill="1" applyBorder="1" applyAlignment="1" applyProtection="1">
      <alignment horizontal="center" vertical="center"/>
      <protection locked="0"/>
    </xf>
    <xf numFmtId="165" fontId="27" fillId="7" borderId="6" xfId="3" applyNumberFormat="1" applyFont="1" applyFill="1" applyBorder="1" applyAlignment="1" applyProtection="1">
      <alignment horizontal="center" vertical="center" wrapText="1"/>
      <protection locked="0"/>
    </xf>
    <xf numFmtId="2" fontId="5" fillId="2" borderId="1" xfId="3" applyNumberFormat="1" applyFont="1" applyFill="1" applyBorder="1" applyAlignment="1" applyProtection="1">
      <alignment horizontal="center" vertical="center"/>
      <protection locked="0"/>
    </xf>
    <xf numFmtId="174" fontId="39" fillId="2" borderId="1" xfId="3" applyNumberFormat="1" applyFont="1" applyFill="1" applyBorder="1" applyAlignment="1" applyProtection="1">
      <alignment horizontal="center" vertical="center"/>
      <protection locked="0"/>
    </xf>
    <xf numFmtId="174" fontId="2" fillId="2" borderId="1" xfId="3" applyNumberFormat="1" applyFont="1" applyFill="1" applyBorder="1" applyAlignment="1" applyProtection="1">
      <alignment horizontal="center" vertical="center"/>
      <protection locked="0"/>
    </xf>
    <xf numFmtId="2" fontId="14" fillId="0" borderId="8" xfId="3" applyNumberFormat="1" applyFont="1" applyBorder="1" applyAlignment="1" applyProtection="1">
      <alignment horizontal="center" vertical="center" wrapText="1"/>
      <protection locked="0"/>
    </xf>
    <xf numFmtId="2" fontId="27" fillId="0" borderId="9" xfId="3" applyNumberFormat="1" applyFont="1" applyBorder="1" applyAlignment="1" applyProtection="1">
      <alignment horizontal="center" vertical="center" wrapText="1"/>
      <protection locked="0"/>
    </xf>
    <xf numFmtId="174" fontId="36" fillId="2" borderId="1" xfId="3" applyNumberFormat="1" applyFont="1" applyFill="1" applyBorder="1" applyAlignment="1" applyProtection="1">
      <alignment horizontal="center" vertical="center"/>
      <protection locked="0"/>
    </xf>
    <xf numFmtId="174" fontId="37" fillId="2" borderId="1" xfId="3" applyNumberFormat="1" applyFont="1" applyFill="1" applyBorder="1" applyAlignment="1" applyProtection="1">
      <alignment horizontal="center" vertical="center"/>
      <protection locked="0"/>
    </xf>
    <xf numFmtId="174" fontId="38" fillId="2" borderId="1" xfId="3" applyNumberFormat="1" applyFont="1" applyFill="1" applyBorder="1" applyAlignment="1" applyProtection="1">
      <alignment horizontal="center" vertical="center"/>
      <protection locked="0"/>
    </xf>
    <xf numFmtId="167" fontId="26" fillId="9" borderId="10" xfId="5" applyNumberFormat="1" applyFont="1" applyFill="1" applyBorder="1" applyAlignment="1" applyProtection="1">
      <alignment horizontal="center" vertical="top"/>
      <protection locked="0"/>
    </xf>
    <xf numFmtId="0" fontId="44" fillId="2" borderId="1" xfId="3" applyFont="1" applyFill="1" applyBorder="1" applyAlignment="1" applyProtection="1">
      <alignment horizontal="center" vertical="center"/>
      <protection locked="0"/>
    </xf>
    <xf numFmtId="0" fontId="1" fillId="2" borderId="1" xfId="3" applyFont="1" applyFill="1" applyBorder="1" applyAlignment="1" applyProtection="1">
      <alignment vertical="center"/>
      <protection locked="0"/>
    </xf>
    <xf numFmtId="165" fontId="45" fillId="2" borderId="1" xfId="0" applyNumberFormat="1" applyFont="1" applyFill="1" applyBorder="1" applyAlignment="1">
      <alignment horizontal="center" vertical="center"/>
    </xf>
    <xf numFmtId="168" fontId="20" fillId="10" borderId="11" xfId="1" applyNumberFormat="1" applyFont="1" applyFill="1" applyBorder="1" applyAlignment="1" applyProtection="1">
      <alignment horizontal="center" vertical="center"/>
      <protection locked="0"/>
    </xf>
    <xf numFmtId="169" fontId="1" fillId="2" borderId="1" xfId="3" applyNumberFormat="1" applyFont="1" applyFill="1" applyBorder="1" applyProtection="1">
      <protection locked="0"/>
    </xf>
    <xf numFmtId="49" fontId="20" fillId="10" borderId="11" xfId="3" applyNumberFormat="1" applyFont="1" applyFill="1" applyBorder="1" applyAlignment="1" applyProtection="1">
      <alignment horizontal="center" vertical="center"/>
      <protection locked="0"/>
    </xf>
    <xf numFmtId="0" fontId="46" fillId="2" borderId="1" xfId="3" applyFont="1" applyFill="1" applyBorder="1" applyProtection="1">
      <protection locked="0"/>
    </xf>
    <xf numFmtId="0" fontId="42" fillId="2" borderId="1" xfId="3" applyFont="1" applyFill="1" applyBorder="1" applyProtection="1">
      <protection locked="0"/>
    </xf>
    <xf numFmtId="175" fontId="47" fillId="2" borderId="1" xfId="3" applyNumberFormat="1" applyFont="1" applyFill="1" applyBorder="1" applyAlignment="1" applyProtection="1">
      <alignment vertical="center"/>
      <protection locked="0"/>
    </xf>
    <xf numFmtId="170" fontId="1" fillId="2" borderId="1" xfId="3" applyNumberFormat="1" applyFont="1" applyFill="1" applyBorder="1" applyProtection="1">
      <protection locked="0"/>
    </xf>
    <xf numFmtId="0" fontId="46" fillId="11" borderId="12" xfId="3" applyFont="1" applyFill="1" applyBorder="1" applyProtection="1">
      <protection locked="0"/>
    </xf>
    <xf numFmtId="0" fontId="24" fillId="2" borderId="1" xfId="3" applyFont="1" applyFill="1" applyBorder="1" applyAlignment="1" applyProtection="1">
      <alignment vertical="center"/>
      <protection locked="0"/>
    </xf>
    <xf numFmtId="0" fontId="44" fillId="2" borderId="1" xfId="3" applyFont="1" applyFill="1" applyBorder="1" applyAlignment="1" applyProtection="1">
      <alignment vertical="center"/>
      <protection locked="0"/>
    </xf>
    <xf numFmtId="0" fontId="4" fillId="2" borderId="1" xfId="3" applyFont="1" applyFill="1" applyBorder="1" applyAlignment="1" applyProtection="1">
      <alignment vertical="center" wrapText="1"/>
      <protection locked="0"/>
    </xf>
    <xf numFmtId="0" fontId="13" fillId="2" borderId="1" xfId="3" applyFont="1" applyFill="1" applyBorder="1" applyAlignment="1">
      <alignment vertical="center"/>
    </xf>
    <xf numFmtId="1" fontId="18" fillId="12" borderId="13" xfId="3" applyNumberFormat="1" applyFont="1" applyFill="1" applyBorder="1" applyAlignment="1" applyProtection="1">
      <alignment horizontal="center" vertical="center"/>
      <protection locked="0"/>
    </xf>
    <xf numFmtId="2" fontId="14" fillId="3" borderId="2" xfId="3" applyNumberFormat="1" applyFont="1" applyFill="1" applyBorder="1" applyAlignment="1" applyProtection="1">
      <alignment horizontal="center" vertical="center" wrapText="1"/>
      <protection locked="0"/>
    </xf>
    <xf numFmtId="2" fontId="14" fillId="4" borderId="3" xfId="3" applyNumberFormat="1" applyFont="1" applyFill="1" applyBorder="1" applyAlignment="1" applyProtection="1">
      <alignment horizontal="center" vertical="center" wrapText="1"/>
      <protection locked="0"/>
    </xf>
    <xf numFmtId="171" fontId="35" fillId="13" borderId="14" xfId="5" applyNumberFormat="1" applyFont="1" applyFill="1" applyBorder="1" applyAlignment="1" applyProtection="1">
      <alignment horizontal="center" wrapText="1"/>
      <protection locked="0"/>
    </xf>
    <xf numFmtId="0" fontId="35" fillId="14" borderId="15" xfId="3" applyFont="1" applyFill="1" applyBorder="1" applyAlignment="1" applyProtection="1">
      <alignment horizontal="center" vertical="center" wrapText="1"/>
      <protection locked="0"/>
    </xf>
    <xf numFmtId="2" fontId="14" fillId="6" borderId="5" xfId="3" applyNumberFormat="1" applyFont="1" applyFill="1" applyBorder="1" applyAlignment="1" applyProtection="1">
      <alignment horizontal="center" vertical="center" wrapText="1"/>
      <protection locked="0"/>
    </xf>
    <xf numFmtId="2" fontId="14" fillId="5" borderId="4" xfId="3" applyNumberFormat="1" applyFont="1" applyFill="1" applyBorder="1" applyAlignment="1" applyProtection="1">
      <alignment horizontal="center" vertical="center" wrapText="1"/>
      <protection locked="0"/>
    </xf>
    <xf numFmtId="172" fontId="19" fillId="8" borderId="7" xfId="3" applyNumberFormat="1" applyFont="1" applyFill="1" applyBorder="1" applyAlignment="1" applyProtection="1">
      <alignment horizontal="center" vertical="center"/>
      <protection locked="0"/>
    </xf>
    <xf numFmtId="173" fontId="19" fillId="8" borderId="7" xfId="3" applyNumberFormat="1" applyFont="1" applyFill="1" applyBorder="1" applyAlignment="1" applyProtection="1">
      <alignment horizontal="center" vertical="center"/>
      <protection locked="0"/>
    </xf>
    <xf numFmtId="0" fontId="12" fillId="2" borderId="28" xfId="3" applyFont="1" applyFill="1" applyBorder="1"/>
    <xf numFmtId="0" fontId="12" fillId="2" borderId="12" xfId="3" applyFont="1" applyFill="1" applyBorder="1"/>
    <xf numFmtId="165" fontId="63" fillId="28" borderId="29" xfId="0" applyNumberFormat="1" applyFont="1" applyFill="1" applyBorder="1" applyAlignment="1">
      <alignment horizontal="center" vertical="center" wrapText="1"/>
    </xf>
    <xf numFmtId="2" fontId="61" fillId="26" borderId="29" xfId="0" applyNumberFormat="1" applyFont="1" applyFill="1" applyBorder="1" applyAlignment="1">
      <alignment horizontal="center" vertical="center" wrapText="1"/>
    </xf>
    <xf numFmtId="2" fontId="64" fillId="26" borderId="29" xfId="0" applyNumberFormat="1" applyFont="1" applyFill="1" applyBorder="1" applyAlignment="1">
      <alignment horizontal="center" vertical="center" wrapText="1"/>
    </xf>
    <xf numFmtId="2" fontId="65" fillId="27" borderId="29" xfId="0" applyNumberFormat="1" applyFont="1" applyFill="1" applyBorder="1" applyAlignment="1">
      <alignment horizontal="center" vertical="center" wrapText="1"/>
    </xf>
    <xf numFmtId="2" fontId="66" fillId="27" borderId="29" xfId="0" applyNumberFormat="1" applyFont="1" applyFill="1" applyBorder="1" applyAlignment="1">
      <alignment horizontal="center" vertical="center" wrapText="1"/>
    </xf>
    <xf numFmtId="2" fontId="53" fillId="0" borderId="29" xfId="0" applyNumberFormat="1" applyFont="1" applyBorder="1" applyAlignment="1">
      <alignment horizontal="center" vertical="center" wrapText="1"/>
    </xf>
    <xf numFmtId="2" fontId="67" fillId="27" borderId="29" xfId="0" applyNumberFormat="1" applyFont="1" applyFill="1" applyBorder="1" applyAlignment="1">
      <alignment horizontal="center" vertical="center" wrapText="1"/>
    </xf>
    <xf numFmtId="1" fontId="61" fillId="27" borderId="29" xfId="0" applyNumberFormat="1" applyFont="1" applyFill="1" applyBorder="1" applyAlignment="1">
      <alignment horizontal="center" vertical="center" wrapText="1"/>
    </xf>
    <xf numFmtId="0" fontId="11" fillId="2" borderId="1" xfId="3" applyFont="1" applyFill="1" applyBorder="1"/>
    <xf numFmtId="165" fontId="65" fillId="27" borderId="29" xfId="0" applyNumberFormat="1" applyFont="1" applyFill="1" applyBorder="1" applyAlignment="1">
      <alignment horizontal="left" vertical="center" wrapText="1"/>
    </xf>
    <xf numFmtId="1" fontId="65" fillId="27" borderId="29" xfId="0" applyNumberFormat="1" applyFont="1" applyFill="1" applyBorder="1" applyAlignment="1">
      <alignment horizontal="center" vertical="center" wrapText="1"/>
    </xf>
    <xf numFmtId="165" fontId="61" fillId="27" borderId="12" xfId="0" applyNumberFormat="1" applyFont="1" applyFill="1" applyBorder="1" applyAlignment="1">
      <alignment horizontal="center" vertical="center" wrapText="1"/>
    </xf>
    <xf numFmtId="165" fontId="61" fillId="27" borderId="12" xfId="0" applyNumberFormat="1" applyFont="1" applyFill="1" applyBorder="1" applyAlignment="1">
      <alignment vertical="center" wrapText="1"/>
    </xf>
    <xf numFmtId="177" fontId="62" fillId="26" borderId="29" xfId="0" applyNumberFormat="1" applyFont="1" applyFill="1" applyBorder="1" applyAlignment="1">
      <alignment horizontal="center" vertical="center" wrapText="1"/>
    </xf>
    <xf numFmtId="1" fontId="63" fillId="26" borderId="29" xfId="0" applyNumberFormat="1" applyFont="1" applyFill="1" applyBorder="1" applyAlignment="1">
      <alignment horizontal="center" vertical="center" wrapText="1"/>
    </xf>
    <xf numFmtId="177" fontId="62" fillId="28" borderId="29" xfId="0" applyNumberFormat="1" applyFont="1" applyFill="1" applyBorder="1" applyAlignment="1">
      <alignment horizontal="center" vertical="center" wrapText="1"/>
    </xf>
    <xf numFmtId="0" fontId="24" fillId="2" borderId="1" xfId="3" applyFont="1" applyFill="1" applyBorder="1" applyAlignment="1" applyProtection="1">
      <alignment vertical="center" wrapText="1"/>
      <protection locked="0"/>
    </xf>
    <xf numFmtId="0" fontId="0" fillId="0" borderId="0" xfId="0" applyAlignment="1">
      <alignment vertical="center" wrapText="1"/>
    </xf>
    <xf numFmtId="0" fontId="24" fillId="2" borderId="1" xfId="3" applyFont="1" applyFill="1" applyBorder="1" applyAlignment="1" applyProtection="1">
      <alignment horizontal="center" vertical="center" wrapText="1"/>
      <protection locked="0"/>
    </xf>
    <xf numFmtId="0" fontId="26" fillId="23" borderId="26" xfId="3" applyFont="1" applyFill="1" applyBorder="1" applyAlignment="1" applyProtection="1">
      <alignment horizontal="left" vertical="center" wrapText="1"/>
      <protection locked="0"/>
    </xf>
    <xf numFmtId="173" fontId="19" fillId="15" borderId="17" xfId="3" applyNumberFormat="1" applyFont="1" applyFill="1" applyBorder="1" applyAlignment="1" applyProtection="1">
      <alignment horizontal="center" vertical="center"/>
      <protection locked="0"/>
    </xf>
    <xf numFmtId="173" fontId="19" fillId="16" borderId="18" xfId="3" applyNumberFormat="1" applyFont="1" applyFill="1" applyBorder="1" applyAlignment="1" applyProtection="1">
      <alignment horizontal="center" vertical="center"/>
      <protection locked="0"/>
    </xf>
    <xf numFmtId="1" fontId="61" fillId="26" borderId="31" xfId="0" applyNumberFormat="1" applyFont="1" applyFill="1" applyBorder="1" applyAlignment="1">
      <alignment horizontal="center" vertical="center" wrapText="1"/>
    </xf>
    <xf numFmtId="1" fontId="61" fillId="26" borderId="32" xfId="0" applyNumberFormat="1" applyFont="1" applyFill="1" applyBorder="1" applyAlignment="1">
      <alignment horizontal="center" vertical="center" wrapText="1"/>
    </xf>
    <xf numFmtId="165" fontId="68" fillId="27" borderId="29" xfId="0" applyNumberFormat="1" applyFont="1" applyFill="1" applyBorder="1" applyAlignment="1">
      <alignment horizontal="center" vertical="center" wrapText="1"/>
    </xf>
    <xf numFmtId="165" fontId="63" fillId="28" borderId="29" xfId="0" applyNumberFormat="1" applyFont="1" applyFill="1" applyBorder="1" applyAlignment="1">
      <alignment horizontal="center" vertical="center" wrapText="1"/>
    </xf>
    <xf numFmtId="165" fontId="53" fillId="27" borderId="29" xfId="0" applyNumberFormat="1" applyFont="1" applyFill="1" applyBorder="1" applyAlignment="1">
      <alignment horizontal="center" vertical="center" wrapText="1"/>
    </xf>
    <xf numFmtId="165" fontId="61" fillId="27" borderId="29" xfId="0" applyNumberFormat="1" applyFont="1" applyFill="1" applyBorder="1" applyAlignment="1">
      <alignment horizontal="center" vertical="center" wrapText="1"/>
    </xf>
    <xf numFmtId="165" fontId="65" fillId="27" borderId="29" xfId="0" applyNumberFormat="1" applyFont="1" applyFill="1" applyBorder="1" applyAlignment="1">
      <alignment horizontal="center" vertical="center" wrapText="1"/>
    </xf>
    <xf numFmtId="0" fontId="12" fillId="0" borderId="16" xfId="3" applyFont="1" applyBorder="1" applyAlignment="1" applyProtection="1">
      <alignment horizontal="left" vertical="center" wrapText="1"/>
      <protection locked="0"/>
    </xf>
    <xf numFmtId="0" fontId="35" fillId="23" borderId="26" xfId="3" applyFont="1" applyFill="1" applyBorder="1" applyAlignment="1" applyProtection="1">
      <alignment horizontal="center" vertical="center" wrapText="1"/>
      <protection locked="0"/>
    </xf>
    <xf numFmtId="165" fontId="19" fillId="15" borderId="17" xfId="3" applyNumberFormat="1" applyFont="1" applyFill="1" applyBorder="1" applyAlignment="1" applyProtection="1">
      <alignment horizontal="center" vertical="center"/>
      <protection locked="0"/>
    </xf>
    <xf numFmtId="165" fontId="19" fillId="16" borderId="18" xfId="3" applyNumberFormat="1" applyFont="1" applyFill="1" applyBorder="1" applyAlignment="1" applyProtection="1">
      <alignment horizontal="center" vertical="center"/>
      <protection locked="0"/>
    </xf>
    <xf numFmtId="171" fontId="35" fillId="12" borderId="13" xfId="3" applyNumberFormat="1" applyFont="1" applyFill="1" applyBorder="1" applyAlignment="1" applyProtection="1">
      <alignment horizontal="center" vertical="center"/>
      <protection locked="0"/>
    </xf>
    <xf numFmtId="165" fontId="59" fillId="25" borderId="30" xfId="0" applyNumberFormat="1" applyFont="1" applyFill="1" applyBorder="1" applyAlignment="1">
      <alignment horizontal="center" vertical="center" wrapText="1"/>
    </xf>
    <xf numFmtId="165" fontId="59" fillId="25" borderId="12" xfId="0" applyNumberFormat="1" applyFont="1" applyFill="1" applyBorder="1" applyAlignment="1">
      <alignment horizontal="center" vertical="center" wrapText="1"/>
    </xf>
    <xf numFmtId="0" fontId="24" fillId="2" borderId="1" xfId="3" applyFont="1" applyFill="1" applyBorder="1" applyAlignment="1" applyProtection="1">
      <alignment horizontal="center" vertical="center"/>
      <protection locked="0"/>
    </xf>
    <xf numFmtId="176" fontId="47" fillId="24" borderId="27" xfId="3" applyNumberFormat="1" applyFont="1" applyFill="1" applyBorder="1" applyAlignment="1" applyProtection="1">
      <alignment horizontal="right" vertical="center"/>
      <protection locked="0"/>
    </xf>
    <xf numFmtId="0" fontId="35" fillId="14" borderId="15" xfId="3" applyFont="1" applyFill="1" applyBorder="1" applyAlignment="1" applyProtection="1">
      <alignment horizontal="center" vertical="center"/>
      <protection locked="0"/>
    </xf>
    <xf numFmtId="0" fontId="35" fillId="21" borderId="23" xfId="3" applyFont="1" applyFill="1" applyBorder="1" applyAlignment="1" applyProtection="1">
      <alignment horizontal="center" vertical="center"/>
      <protection locked="0"/>
    </xf>
    <xf numFmtId="0" fontId="35" fillId="22" borderId="25" xfId="3" applyFont="1" applyFill="1" applyBorder="1" applyAlignment="1" applyProtection="1">
      <alignment horizontal="center" vertical="center"/>
      <protection locked="0"/>
    </xf>
    <xf numFmtId="0" fontId="35" fillId="17" borderId="19" xfId="3" applyFont="1" applyFill="1" applyBorder="1" applyAlignment="1" applyProtection="1">
      <alignment horizontal="center" vertical="center" wrapText="1"/>
      <protection locked="0"/>
    </xf>
    <xf numFmtId="0" fontId="35" fillId="18" borderId="20" xfId="3" applyFont="1" applyFill="1" applyBorder="1" applyAlignment="1" applyProtection="1">
      <alignment horizontal="center" vertical="center" wrapText="1"/>
      <protection locked="0"/>
    </xf>
    <xf numFmtId="0" fontId="35" fillId="19" borderId="21" xfId="3" applyFont="1" applyFill="1" applyBorder="1" applyAlignment="1" applyProtection="1">
      <alignment horizontal="center" vertical="center" wrapText="1"/>
      <protection locked="0"/>
    </xf>
    <xf numFmtId="0" fontId="35" fillId="20" borderId="22" xfId="3" applyFont="1" applyFill="1" applyBorder="1" applyAlignment="1" applyProtection="1">
      <alignment horizontal="center" vertical="center" wrapText="1"/>
      <protection locked="0"/>
    </xf>
    <xf numFmtId="0" fontId="28" fillId="12" borderId="13" xfId="3" applyFont="1" applyFill="1" applyBorder="1" applyAlignment="1" applyProtection="1">
      <alignment horizontal="center" vertical="center" wrapText="1"/>
      <protection locked="0"/>
    </xf>
    <xf numFmtId="0" fontId="28" fillId="12" borderId="13" xfId="3" applyFont="1" applyFill="1" applyBorder="1" applyAlignment="1" applyProtection="1">
      <alignment horizontal="center" vertical="center"/>
      <protection locked="0"/>
    </xf>
    <xf numFmtId="0" fontId="18" fillId="14" borderId="15" xfId="3" applyFont="1" applyFill="1" applyBorder="1" applyAlignment="1" applyProtection="1">
      <alignment horizontal="center" vertical="center" wrapText="1"/>
      <protection locked="0"/>
    </xf>
    <xf numFmtId="0" fontId="0" fillId="0" borderId="24" xfId="0" applyBorder="1" applyAlignment="1">
      <alignment horizontal="center" vertical="center" wrapText="1"/>
    </xf>
    <xf numFmtId="0" fontId="18" fillId="22" borderId="25" xfId="3" applyFont="1" applyFill="1" applyBorder="1" applyAlignment="1" applyProtection="1">
      <alignment horizontal="center" vertical="center" wrapText="1"/>
      <protection locked="0"/>
    </xf>
    <xf numFmtId="171" fontId="35" fillId="13" borderId="14" xfId="3" applyNumberFormat="1" applyFont="1" applyFill="1" applyBorder="1" applyAlignment="1" applyProtection="1">
      <alignment horizontal="center" vertical="center"/>
      <protection locked="0"/>
    </xf>
    <xf numFmtId="171" fontId="35" fillId="9" borderId="10" xfId="3" applyNumberFormat="1" applyFont="1" applyFill="1" applyBorder="1" applyAlignment="1" applyProtection="1">
      <alignment horizontal="center" vertical="center"/>
      <protection locked="0"/>
    </xf>
  </cellXfs>
  <cellStyles count="6">
    <cellStyle name="Обычный" xfId="0" builtinId="0" customBuiltin="1"/>
    <cellStyle name="Обычный 5" xfId="3" xr:uid="{00000000-0005-0000-0000-000003000000}"/>
    <cellStyle name="Обычный 5 3" xfId="5" xr:uid="{00000000-0005-0000-0000-000005000000}"/>
    <cellStyle name="Процентный" xfId="2" builtinId="5" customBuiltin="1"/>
    <cellStyle name="Финансовый [0]" xfId="1" builtinId="6" customBuiltin="1"/>
    <cellStyle name="Финансовый 2" xfId="4" xr:uid="{00000000-0005-0000-0000-000004000000}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  <ext uri="smNativeData">
      <pm:charStyles xmlns:pm="smNativeData" id="1769060904" count="1">
        <pm:charStyle name="Обычный" fontId="0" Id="1"/>
      </pm:charStyles>
      <pm:colors xmlns:pm="smNativeData" id="1769060904" count="4">
        <pm:color name="Цвет 24" rgb="002060"/>
        <pm:color name="Цвет 25" rgb="00B0F0"/>
        <pm:color name="Цвет 26" rgb="D8D8D8"/>
        <pm:color name="Цвет 27" rgb="DDEBF7"/>
      </pm:colors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222885</xdr:colOff>
      <xdr:row>15</xdr:row>
      <xdr:rowOff>377825</xdr:rowOff>
    </xdr:from>
    <xdr:to>
      <xdr:col>0</xdr:col>
      <xdr:colOff>258445</xdr:colOff>
      <xdr:row>15</xdr:row>
      <xdr:rowOff>408305</xdr:rowOff>
    </xdr:to>
    <xdr:sp macro="" textlink="" fLocksText="0">
      <xdr:nvSpPr>
        <xdr:cNvPr id="32" name="Равнобедренный треугольник 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>
          <a:extLst>
            <a:ext uri="smNativeData">
              <pm:smNativeData xmlns="" xmlns:pm="smNativeData" val="SMDATA_13_KLpxaRMAAAAlAAAAagAAAI0AAAAAkAAAAEgAAACQAAAASAAAAAAAAAAAAAAAAAAAAAEAAABQAAAAAAAAAAAA4D8AAAAAAADgPwAAAAAAAOA/AAAAAAAA4D8AAAAAAADgPwAAAAAAAOA/AAAAAAAA4D8AAAAAAADgPwAAAAAAAOA/AAAAAAAA4D8CAAAAjAAAAAEAAAAAAAAAAAAAAAAAAAAAAAAAAAAAAAAAAAAAAAAAAAAAAAAAAAAAAAAAZAAAAAEAAABAAAAAAAAAAAAAAAAAAAAAAAAAAAAAAAAAAAAAAAAAAAAAAAAAAAAAAAAAAAAAAAAAAAAAAAAAAAAAAAAAAAAAAAAAAAAAAAAAAAAAAAAAAAAAAAAAAAAAFAAAADwAAAAB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A8AAAAAAAAA4wJ+AA8AAAAAAAAAHgOSAF8BAADDJgAAOAAAADAAAAAAAAAA"/>
            </a:ext>
          </a:extLst>
        </xdr:cNvSpPr>
      </xdr:nvSpPr>
      <xdr:spPr>
        <a:xfrm rot="10800000">
          <a:off x="222885" y="6301105"/>
          <a:ext cx="35560" cy="30480"/>
        </a:xfrm>
        <a:prstGeom prst="triangle">
          <a:avLst>
            <a:gd name="adj" fmla="val 50000"/>
          </a:avLst>
        </a:prstGeom>
        <a:solidFill>
          <a:srgbClr val="000000"/>
        </a:solidFill>
        <a:ln w="12700" cap="flat">
          <a:solidFill>
            <a:srgbClr val="000000"/>
          </a:solidFill>
          <a:prstDash val="solid"/>
          <a:headEnd type="none" w="med" len="med"/>
          <a:tailEnd type="none" w="med" len="med"/>
        </a:ln>
        <a:effectLst/>
      </xdr:spPr>
      <xdr:txBody>
        <a:bodyPr spcFirstLastPara="1" vertOverflow="clip" horzOverflow="clip" wrap="square" lIns="91440" tIns="45720" rIns="91440" bIns="45720" anchor="t" upright="1"/>
        <a:lstStyle/>
        <a:p>
          <a:pPr algn="l" defTabSz="360045" rtl="0">
            <a:defRPr sz="1000"/>
          </a:pPr>
          <a:r>
            <a:rPr lang="ru-ru" sz="1100" b="0" i="0" u="none" strike="noStrike" kern="100" baseline="0">
              <a:solidFill>
                <a:srgbClr val="000000"/>
              </a:solidFill>
              <a:latin typeface="Calibri" pitchFamily="2"/>
              <a:ea typeface="Arial" pitchFamily="2"/>
              <a:cs typeface="Arial" pitchFamily="2"/>
            </a:rPr>
            <a:t> </a:t>
          </a:r>
        </a:p>
      </xdr:txBody>
    </xdr:sp>
    <xdr:clientData/>
  </xdr:twoCellAnchor>
  <xdr:twoCellAnchor>
    <xdr:from>
      <xdr:col>0</xdr:col>
      <xdr:colOff>237490</xdr:colOff>
      <xdr:row>5</xdr:row>
      <xdr:rowOff>464820</xdr:rowOff>
    </xdr:from>
    <xdr:to>
      <xdr:col>0</xdr:col>
      <xdr:colOff>273050</xdr:colOff>
      <xdr:row>5</xdr:row>
      <xdr:rowOff>497205</xdr:rowOff>
    </xdr:to>
    <xdr:sp macro="" textlink="" fLocksText="0">
      <xdr:nvSpPr>
        <xdr:cNvPr id="31" name="Равнобедренный треугольник 2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>
          <a:extLst>
            <a:ext uri="smNativeData">
              <pm:smNativeData xmlns="" xmlns:pm="smNativeData" val="SMDATA_13_KLpxaRMAAAAlAAAAagAAAI0AAAAAkAAAAEgAAACQAAAASAAAAAAAAAAAAAAAAAAAAAEAAABQAAAAAAAAAAAA4D8AAAAAAADgPwAAAAAAAOA/AAAAAAAA4D8AAAAAAADgPwAAAAAAAOA/AAAAAAAA4D8AAAAAAADgPwAAAAAAAOA/AAAAAAAA4D8CAAAAjAAAAAEAAAAAAAAAAAAAAAAAAAAAAAAAAAAAAAAAAAAAAAAAAAAAAAAAAAAAAAAAZAAAAAEAAABAAAAAAAAAAAAAAAAAAAAAAAAAAAAAAAAAAAAAAAAAAAAAAAAAAAAAAAAAAAAAAAAAAAAAAAAAAAAAAAAAAAAAAAAAAAAAAAAAAAAAAAAAAAAAAAAAAAAAFAAAADwAAAAB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AUAAAAAAAAAWAOGAAUAAAAAAAAAkwOaAHYBAAAADwAAOAAAADMAAAAAAAAA"/>
            </a:ext>
          </a:extLst>
        </xdr:cNvSpPr>
      </xdr:nvSpPr>
      <xdr:spPr>
        <a:xfrm rot="10800000">
          <a:off x="237490" y="2438400"/>
          <a:ext cx="35560" cy="32385"/>
        </a:xfrm>
        <a:prstGeom prst="triangle">
          <a:avLst>
            <a:gd name="adj" fmla="val 50000"/>
          </a:avLst>
        </a:prstGeom>
        <a:solidFill>
          <a:srgbClr val="000000"/>
        </a:solidFill>
        <a:ln w="12700" cap="flat">
          <a:solidFill>
            <a:srgbClr val="000000"/>
          </a:solidFill>
          <a:prstDash val="solid"/>
          <a:headEnd type="none" w="med" len="med"/>
          <a:tailEnd type="none" w="med" len="med"/>
        </a:ln>
        <a:effectLst/>
      </xdr:spPr>
      <xdr:txBody>
        <a:bodyPr spcFirstLastPara="1" vertOverflow="clip" horzOverflow="clip" wrap="square" lIns="91440" tIns="45720" rIns="91440" bIns="45720" anchor="t" upright="1"/>
        <a:lstStyle/>
        <a:p>
          <a:pPr algn="l" defTabSz="360045" rtl="0">
            <a:defRPr sz="1000"/>
          </a:pPr>
          <a:r>
            <a:rPr lang="ru-ru" sz="1100" b="0" i="0" u="none" strike="noStrike" kern="100" baseline="0">
              <a:solidFill>
                <a:srgbClr val="000000"/>
              </a:solidFill>
              <a:latin typeface="Calibri" pitchFamily="2"/>
              <a:ea typeface="Arial" pitchFamily="2"/>
              <a:cs typeface="Arial" pitchFamily="2"/>
            </a:rPr>
            <a:t> </a:t>
          </a:r>
        </a:p>
      </xdr:txBody>
    </xdr:sp>
    <xdr:clientData/>
  </xdr:twoCellAnchor>
  <xdr:twoCellAnchor>
    <xdr:from>
      <xdr:col>0</xdr:col>
      <xdr:colOff>240665</xdr:colOff>
      <xdr:row>11</xdr:row>
      <xdr:rowOff>380365</xdr:rowOff>
    </xdr:from>
    <xdr:to>
      <xdr:col>0</xdr:col>
      <xdr:colOff>274320</xdr:colOff>
      <xdr:row>11</xdr:row>
      <xdr:rowOff>410210</xdr:rowOff>
    </xdr:to>
    <xdr:sp macro="" textlink="" fLocksText="0">
      <xdr:nvSpPr>
        <xdr:cNvPr id="30" name="Равнобедренный треугольник 3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>
          <a:extLst>
            <a:ext uri="smNativeData">
              <pm:smNativeData xmlns="" xmlns:pm="smNativeData" val="SMDATA_13_KLpxaRMAAAAlAAAAagAAAI0AAAAAkAAAAEgAAACQAAAASAAAAAAAAAAAAAAAAAAAAAEAAABQAAAAAAAAAAAA4D8AAAAAAADgPwAAAAAAAOA/AAAAAAAA4D8AAAAAAADgPwAAAAAAAOA/AAAAAAAA4D8AAAAAAADgPwAAAAAAAOA/AAAAAAAA4D8CAAAAjAAAAAEAAAAAAAAAAAAAAAAAAAAAAAAAAAAAAAAAAAAAAAAAAAAAAAAAAAAAAAAAZAAAAAEAAABAAAAAAAAAAAAAAAAAAAAAAAAAAAAAAAAAAAAAAAAAAAAAAAAAAAAAAAAAAAAAAAAAAAAAAAAAAAAAAAAAAAAAAAAAAAAAAAAAAAAAAAAAAAAAAAAAAAAAFAAAADwAAAAB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O0NAw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AsAAAAAAAAA5wKIAAsAAAAAAAAAIgObAHsBAAArHQAANQAAAC8AAAAAAAAA"/>
            </a:ext>
          </a:extLst>
        </xdr:cNvSpPr>
      </xdr:nvSpPr>
      <xdr:spPr>
        <a:xfrm rot="10800000">
          <a:off x="240665" y="4741545"/>
          <a:ext cx="33655" cy="29845"/>
        </a:xfrm>
        <a:prstGeom prst="triangle">
          <a:avLst>
            <a:gd name="adj" fmla="val 50000"/>
          </a:avLst>
        </a:prstGeom>
        <a:solidFill>
          <a:srgbClr val="000000"/>
        </a:solidFill>
        <a:ln w="12700" cap="flat">
          <a:solidFill>
            <a:srgbClr val="000000"/>
          </a:solidFill>
          <a:prstDash val="solid"/>
          <a:headEnd type="none" w="med" len="med"/>
          <a:tailEnd type="none" w="med" len="med"/>
        </a:ln>
        <a:effectLst/>
      </xdr:spPr>
      <xdr:txBody>
        <a:bodyPr spcFirstLastPara="1" vertOverflow="clip" horzOverflow="clip" wrap="square" lIns="91440" tIns="45720" rIns="91440" bIns="45720" anchor="t" upright="1"/>
        <a:lstStyle/>
        <a:p>
          <a:pPr algn="l" defTabSz="360045" rtl="0">
            <a:defRPr sz="1000"/>
          </a:pPr>
          <a:r>
            <a:rPr lang="ru-ru" sz="1100" b="0" i="0" u="none" strike="noStrike" kern="100" baseline="0">
              <a:solidFill>
                <a:srgbClr val="000000"/>
              </a:solidFill>
              <a:latin typeface="Calibri" pitchFamily="2"/>
              <a:ea typeface="Arial" pitchFamily="2"/>
              <a:cs typeface="Arial" pitchFamily="2"/>
            </a:rPr>
            <a:t> </a:t>
          </a:r>
        </a:p>
      </xdr:txBody>
    </xdr:sp>
    <xdr:clientData/>
  </xdr:twoCellAnchor>
  <xdr:twoCellAnchor>
    <xdr:from>
      <xdr:col>0</xdr:col>
      <xdr:colOff>239395</xdr:colOff>
      <xdr:row>5</xdr:row>
      <xdr:rowOff>337820</xdr:rowOff>
    </xdr:from>
    <xdr:to>
      <xdr:col>0</xdr:col>
      <xdr:colOff>273050</xdr:colOff>
      <xdr:row>5</xdr:row>
      <xdr:rowOff>369570</xdr:rowOff>
    </xdr:to>
    <xdr:sp macro="" textlink="" fLocksText="0">
      <xdr:nvSpPr>
        <xdr:cNvPr id="29" name="Равнобедренный треугольник 4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>
          <a:extLst>
            <a:ext uri="smNativeData">
              <pm:smNativeData xmlns="" xmlns:pm="smNativeData" val="SMDATA_13_KLpxaRMAAAAlAAAAagAAAI0AAAAAkAAAAEgAAACQAAAASAAAAAAAAAAAAAAAAAAAAAEAAABQAAAAAAAAAAAA4D8AAAAAAADgPwAAAAAAAOA/AAAAAAAA4D8AAAAAAADgPwAAAAAAAOA/AAAAAAAA4D8AAAAAAADgPwAAAAAAAOA/AAAAAAAA4D8CAAAAjAAAAAEAAAAAAAAAAAAAAAAAAAAAAAAAAAAAAAAAAAAAAAAAAAAAAAAAAAAAAAAAZAAAAAEAAABAAAAAAAAAAAAAAAAAAAAAAAAAAAAAAAAAAAAAAAAAAAAAAAAAAAAAAAAAAAAAAAAAAAAAAAAAAAAAAAAAAAAAAAAAAAAAAAAAAAAAAAAAAAAAAAAAAAAAFAAAADwAAAAB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AUAAAAAAAAAbgKHAAUAAAAAAAAAqAKaAHkBAAA4DgAANQAAADIAAAAAAAAA"/>
            </a:ext>
          </a:extLst>
        </xdr:cNvSpPr>
      </xdr:nvSpPr>
      <xdr:spPr>
        <a:xfrm rot="10800000">
          <a:off x="239395" y="2311400"/>
          <a:ext cx="33655" cy="31750"/>
        </a:xfrm>
        <a:prstGeom prst="triangle">
          <a:avLst>
            <a:gd name="adj" fmla="val 50000"/>
          </a:avLst>
        </a:prstGeom>
        <a:solidFill>
          <a:srgbClr val="000000"/>
        </a:solidFill>
        <a:ln w="12700" cap="flat">
          <a:solidFill>
            <a:srgbClr val="000000"/>
          </a:solidFill>
          <a:prstDash val="solid"/>
          <a:headEnd type="none" w="med" len="med"/>
          <a:tailEnd type="none" w="med" len="med"/>
        </a:ln>
        <a:effectLst/>
      </xdr:spPr>
      <xdr:txBody>
        <a:bodyPr spcFirstLastPara="1" vertOverflow="clip" horzOverflow="clip" wrap="square" lIns="91440" tIns="45720" rIns="91440" bIns="45720" anchor="t" upright="1"/>
        <a:lstStyle/>
        <a:p>
          <a:pPr algn="l" defTabSz="360045" rtl="0">
            <a:defRPr sz="1000"/>
          </a:pPr>
          <a:r>
            <a:rPr lang="ru-ru" sz="1100" b="0" i="0" u="none" strike="noStrike" kern="100" baseline="0">
              <a:solidFill>
                <a:srgbClr val="000000"/>
              </a:solidFill>
              <a:latin typeface="Calibri" pitchFamily="2"/>
              <a:ea typeface="Arial" pitchFamily="2"/>
              <a:cs typeface="Arial" pitchFamily="2"/>
            </a:rPr>
            <a:t> </a:t>
          </a:r>
        </a:p>
      </xdr:txBody>
    </xdr:sp>
    <xdr:clientData/>
  </xdr:twoCellAnchor>
  <xdr:twoCellAnchor>
    <xdr:from>
      <xdr:col>0</xdr:col>
      <xdr:colOff>391160</xdr:colOff>
      <xdr:row>6</xdr:row>
      <xdr:rowOff>21590</xdr:rowOff>
    </xdr:from>
    <xdr:to>
      <xdr:col>0</xdr:col>
      <xdr:colOff>424815</xdr:colOff>
      <xdr:row>6</xdr:row>
      <xdr:rowOff>53340</xdr:rowOff>
    </xdr:to>
    <xdr:sp macro="" textlink="" fLocksText="0">
      <xdr:nvSpPr>
        <xdr:cNvPr id="28" name="Равнобедренный треугольник 5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>
          <a:extLst>
            <a:ext uri="smNativeData">
              <pm:smNativeData xmlns="" xmlns:pm="smNativeData" val="SMDATA_13_KLpxaRMAAAAlAAAAagAAAI0AAAAAkAAAAEgAAACQAAAASAAAAAAAAAAAAAAAAAAAAAEAAABQAAAAAAAAAAAA4D8AAAAAAADgPwAAAAAAAOA/AAAAAAAA4D8AAAAAAADgPwAAAAAAAOA/AAAAAAAA4D8AAAAAAADgPwAAAAAAAOA/AAAAAAAA4D8CAAAAjAAAAAEAAAAAAAAAAAAAAAAAAAAAAAAAAAAAAAAAAAAAAAAAAAAAAAAAAAAAAAAAZAAAAAEAAABAAAAAAAAAAAAAAAAAAAAAAAAAAAAAAAAAAAAAAAAAAAAAAAAAAAAAAAAAAAAAAAAAAAAAAAAAAAAAAAAAAAAAAAAAAAAAAAAAAAAAAAAAAAAAAAAAAAAAFAAAADwAAAAB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AYAAAAAAAAAUgDdAAYAAAAAAAAAywDwAGgCAACyDwAANQAAADIAAAAAAAAA"/>
            </a:ext>
          </a:extLst>
        </xdr:cNvSpPr>
      </xdr:nvSpPr>
      <xdr:spPr>
        <a:xfrm rot="10800000">
          <a:off x="391160" y="2551430"/>
          <a:ext cx="33655" cy="31750"/>
        </a:xfrm>
        <a:prstGeom prst="triangle">
          <a:avLst>
            <a:gd name="adj" fmla="val 50000"/>
          </a:avLst>
        </a:prstGeom>
        <a:solidFill>
          <a:srgbClr val="000000"/>
        </a:solidFill>
        <a:ln w="12700" cap="flat">
          <a:solidFill>
            <a:srgbClr val="000000"/>
          </a:solidFill>
          <a:prstDash val="solid"/>
          <a:headEnd type="none" w="med" len="med"/>
          <a:tailEnd type="none" w="med" len="med"/>
        </a:ln>
        <a:effectLst/>
      </xdr:spPr>
      <xdr:txBody>
        <a:bodyPr spcFirstLastPara="1" vertOverflow="clip" horzOverflow="clip" wrap="square" lIns="91440" tIns="45720" rIns="91440" bIns="45720" anchor="t" upright="1"/>
        <a:lstStyle/>
        <a:p>
          <a:pPr algn="l" defTabSz="360045" rtl="0">
            <a:defRPr sz="1000"/>
          </a:pPr>
          <a:r>
            <a:rPr lang="ru-ru" sz="1100" b="0" i="0" u="none" strike="noStrike" kern="100" baseline="0">
              <a:solidFill>
                <a:srgbClr val="000000"/>
              </a:solidFill>
              <a:latin typeface="Calibri" pitchFamily="2"/>
              <a:ea typeface="Arial" pitchFamily="2"/>
              <a:cs typeface="Arial" pitchFamily="2"/>
            </a:rPr>
            <a:t> </a:t>
          </a:r>
        </a:p>
      </xdr:txBody>
    </xdr:sp>
    <xdr:clientData/>
  </xdr:twoCellAnchor>
  <xdr:twoCellAnchor>
    <xdr:from>
      <xdr:col>0</xdr:col>
      <xdr:colOff>231775</xdr:colOff>
      <xdr:row>7</xdr:row>
      <xdr:rowOff>378460</xdr:rowOff>
    </xdr:from>
    <xdr:to>
      <xdr:col>0</xdr:col>
      <xdr:colOff>267335</xdr:colOff>
      <xdr:row>7</xdr:row>
      <xdr:rowOff>408305</xdr:rowOff>
    </xdr:to>
    <xdr:sp macro="" textlink="" fLocksText="0">
      <xdr:nvSpPr>
        <xdr:cNvPr id="27" name="Равнобедренный треугольник 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>
          <a:extLst>
            <a:ext uri="smNativeData">
              <pm:smNativeData xmlns="" xmlns:pm="smNativeData" val="SMDATA_13_KLpxaRMAAAAlAAAAagAAAI0AAAAAkAAAAEgAAACQAAAASAAAAAAAAAAAAAAAAAAAAAEAAABQAAAAAAAAAAAA4D8AAAAAAADgPwAAAAAAAOA/AAAAAAAA4D8AAAAAAADgPwAAAAAAAOA/AAAAAAAA4D8AAAAAAADgPwAAAAAAAOA/AAAAAAAA4D8CAAAAjAAAAAEAAAAAAAAAAAAAAAAAAAAAAAAAAAAAAAAAAAAAAAAAAAAAAAAAAAAAAAAAZAAAAAEAAABAAAAAAAAAAAAAAAAAAAAAAAAAAAAAAAAAAAAAAAAAAAAAAAAAAAAAAAAAAAAAAAAAAAAAAAAAAAAAAAAAAAAAAAAAAAAAAAAAAAAAAAAAAAAAAAAAAAAAFAAAADwAAAAB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O0NAw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AcAAAAAAAAA5AKDAAcAAAAAAAAAHgOXAG0BAACMEwAAOAAAAC8AAAAAAAAA"/>
            </a:ext>
          </a:extLst>
        </xdr:cNvSpPr>
      </xdr:nvSpPr>
      <xdr:spPr>
        <a:xfrm rot="10800000">
          <a:off x="231775" y="3177540"/>
          <a:ext cx="35560" cy="29845"/>
        </a:xfrm>
        <a:prstGeom prst="triangle">
          <a:avLst>
            <a:gd name="adj" fmla="val 50000"/>
          </a:avLst>
        </a:prstGeom>
        <a:solidFill>
          <a:srgbClr val="000000"/>
        </a:solidFill>
        <a:ln w="12700" cap="flat">
          <a:solidFill>
            <a:srgbClr val="000000"/>
          </a:solidFill>
          <a:prstDash val="solid"/>
          <a:headEnd type="none" w="med" len="med"/>
          <a:tailEnd type="none" w="med" len="med"/>
        </a:ln>
        <a:effectLst/>
      </xdr:spPr>
      <xdr:txBody>
        <a:bodyPr spcFirstLastPara="1" vertOverflow="clip" horzOverflow="clip" wrap="square" lIns="91440" tIns="45720" rIns="91440" bIns="45720" anchor="t" upright="1"/>
        <a:lstStyle/>
        <a:p>
          <a:pPr algn="l" defTabSz="360045" rtl="0">
            <a:defRPr sz="1000"/>
          </a:pPr>
          <a:r>
            <a:rPr lang="ru-ru" sz="1100" b="0" i="0" u="none" strike="noStrike" kern="100" baseline="0">
              <a:solidFill>
                <a:srgbClr val="000000"/>
              </a:solidFill>
              <a:latin typeface="Calibri" pitchFamily="2"/>
              <a:ea typeface="Arial" pitchFamily="2"/>
              <a:cs typeface="Arial" pitchFamily="2"/>
            </a:rPr>
            <a:t> </a:t>
          </a:r>
        </a:p>
      </xdr:txBody>
    </xdr:sp>
    <xdr:clientData/>
  </xdr:twoCellAnchor>
  <xdr:twoCellAnchor>
    <xdr:from>
      <xdr:col>0</xdr:col>
      <xdr:colOff>230505</xdr:colOff>
      <xdr:row>7</xdr:row>
      <xdr:rowOff>493395</xdr:rowOff>
    </xdr:from>
    <xdr:to>
      <xdr:col>0</xdr:col>
      <xdr:colOff>264160</xdr:colOff>
      <xdr:row>7</xdr:row>
      <xdr:rowOff>523240</xdr:rowOff>
    </xdr:to>
    <xdr:sp macro="" textlink="" fLocksText="0">
      <xdr:nvSpPr>
        <xdr:cNvPr id="26" name="Равнобедренный треугольник 7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>
          <a:extLst>
            <a:ext uri="smNativeData">
              <pm:smNativeData xmlns="" xmlns:pm="smNativeData" val="SMDATA_13_KLpxaRMAAAAlAAAAagAAAI0AAAAAkAAAAEgAAACQAAAASAAAAAAAAAAAAAAAAAAAAAEAAABQAAAAAAAAAAAA4D8AAAAAAADgPwAAAAAAAOA/AAAAAAAA4D8AAAAAAADgPwAAAAAAAOA/AAAAAAAA4D8AAAAAAADgPwAAAAAAAOA/AAAAAAAA4D8CAAAAjAAAAAEAAAAAAAAAAAAAAAAAAAAAAAAAAAAAAAAAAAAAAAAAAAAAAAAAAAAAAAAAZAAAAAEAAABAAAAAAAAAAAAAAAAAAAAAAAAAAAAAAAAAAAAAAAAAAAAAAAAAAAAAAAAAAAAAAAAAAAAAAAAAAAAAAAAAAAAAAAAAAAAAAAAAAAAAAAAAAAAAAAAAAAAAFAAAADwAAAAB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AcAAAAAAAAAxAOCAAcAAAAAAAAA/wOVAGsBAABBFAAANQAAAC8AAAAAAAAA"/>
            </a:ext>
          </a:extLst>
        </xdr:cNvSpPr>
      </xdr:nvSpPr>
      <xdr:spPr>
        <a:xfrm rot="10800000">
          <a:off x="230505" y="3292475"/>
          <a:ext cx="33655" cy="29845"/>
        </a:xfrm>
        <a:prstGeom prst="triangle">
          <a:avLst>
            <a:gd name="adj" fmla="val 50000"/>
          </a:avLst>
        </a:prstGeom>
        <a:solidFill>
          <a:srgbClr val="000000"/>
        </a:solidFill>
        <a:ln w="12700" cap="flat">
          <a:solidFill>
            <a:srgbClr val="000000"/>
          </a:solidFill>
          <a:prstDash val="solid"/>
          <a:headEnd type="none" w="med" len="med"/>
          <a:tailEnd type="none" w="med" len="med"/>
        </a:ln>
        <a:effectLst/>
      </xdr:spPr>
      <xdr:txBody>
        <a:bodyPr spcFirstLastPara="1" vertOverflow="clip" horzOverflow="clip" wrap="square" lIns="91440" tIns="45720" rIns="91440" bIns="45720" anchor="t" upright="1"/>
        <a:lstStyle/>
        <a:p>
          <a:pPr algn="l" defTabSz="360045" rtl="0">
            <a:defRPr sz="1000"/>
          </a:pPr>
          <a:r>
            <a:rPr lang="ru-ru" sz="1100" b="0" i="0" u="none" strike="noStrike" kern="100" baseline="0">
              <a:solidFill>
                <a:srgbClr val="000000"/>
              </a:solidFill>
              <a:latin typeface="Calibri" pitchFamily="2"/>
              <a:ea typeface="Arial" pitchFamily="2"/>
              <a:cs typeface="Arial" pitchFamily="2"/>
            </a:rPr>
            <a:t> </a:t>
          </a:r>
        </a:p>
      </xdr:txBody>
    </xdr:sp>
    <xdr:clientData/>
  </xdr:twoCellAnchor>
  <xdr:twoCellAnchor>
    <xdr:from>
      <xdr:col>0</xdr:col>
      <xdr:colOff>320675</xdr:colOff>
      <xdr:row>8</xdr:row>
      <xdr:rowOff>83820</xdr:rowOff>
    </xdr:from>
    <xdr:to>
      <xdr:col>0</xdr:col>
      <xdr:colOff>354330</xdr:colOff>
      <xdr:row>8</xdr:row>
      <xdr:rowOff>113665</xdr:rowOff>
    </xdr:to>
    <xdr:sp macro="" textlink="" fLocksText="0">
      <xdr:nvSpPr>
        <xdr:cNvPr id="25" name="Равнобедренный треугольник 8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>
          <a:extLst>
            <a:ext uri="smNativeData">
              <pm:smNativeData xmlns="" xmlns:pm="smNativeData" val="SMDATA_13_KLpxaRMAAAAlAAAAagAAAI0AAAAAkAAAAEgAAACQAAAASAAAAAAAAAAAAAAAAAAAAAEAAABQAAAAAAAAAAAA4D8AAAAAAADgPwAAAAAAAOA/AAAAAAAA4D8AAAAAAADgPwAAAAAAAOA/AAAAAAAA4D8AAAAAAADgPwAAAAAAAOA/AAAAAAAA4D8CAAAAjAAAAAEAAAAAAAAAAAAAAAAAAAAAAAAAAAAAAAAAAAAAAAAAAAAAAAAAAAAAAAAAZAAAAAEAAABAAAAAAAAAAAAAAAAAAAAAAAAAAAAAAAAAAAAAAAAAAAAAAAAAAAAAAAAAAAAAAAAAAAAAAAAAAAAAAAAAAAAAAAAAAAAAAAAAAAAAAAAAAAAAAAAAAAAAFAAAADwAAAAB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O0NAw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AgAAAAAAAAATgG1AAgAAAAAAAAAxQHIAPkBAAD1FAAANQAAAC8AAAAAAAAA"/>
            </a:ext>
          </a:extLst>
        </xdr:cNvSpPr>
      </xdr:nvSpPr>
      <xdr:spPr>
        <a:xfrm rot="10800000">
          <a:off x="320675" y="3406775"/>
          <a:ext cx="33655" cy="29845"/>
        </a:xfrm>
        <a:prstGeom prst="triangle">
          <a:avLst>
            <a:gd name="adj" fmla="val 50000"/>
          </a:avLst>
        </a:prstGeom>
        <a:solidFill>
          <a:srgbClr val="000000"/>
        </a:solidFill>
        <a:ln w="12700" cap="flat">
          <a:solidFill>
            <a:srgbClr val="000000"/>
          </a:solidFill>
          <a:prstDash val="solid"/>
          <a:headEnd type="none" w="med" len="med"/>
          <a:tailEnd type="none" w="med" len="med"/>
        </a:ln>
        <a:effectLst/>
      </xdr:spPr>
      <xdr:txBody>
        <a:bodyPr spcFirstLastPara="1" vertOverflow="clip" horzOverflow="clip" wrap="square" lIns="91440" tIns="45720" rIns="91440" bIns="45720" anchor="t" upright="1"/>
        <a:lstStyle/>
        <a:p>
          <a:pPr algn="l" defTabSz="360045" rtl="0">
            <a:defRPr sz="1000"/>
          </a:pPr>
          <a:r>
            <a:rPr lang="ru-ru" sz="1100" b="0" i="0" u="none" strike="noStrike" kern="100" baseline="0">
              <a:solidFill>
                <a:srgbClr val="000000"/>
              </a:solidFill>
              <a:latin typeface="Calibri" pitchFamily="2"/>
              <a:ea typeface="Arial" pitchFamily="2"/>
              <a:cs typeface="Arial" pitchFamily="2"/>
            </a:rPr>
            <a:t> </a:t>
          </a:r>
        </a:p>
      </xdr:txBody>
    </xdr:sp>
    <xdr:clientData/>
  </xdr:twoCellAnchor>
  <xdr:twoCellAnchor>
    <xdr:from>
      <xdr:col>0</xdr:col>
      <xdr:colOff>231775</xdr:colOff>
      <xdr:row>9</xdr:row>
      <xdr:rowOff>432435</xdr:rowOff>
    </xdr:from>
    <xdr:to>
      <xdr:col>0</xdr:col>
      <xdr:colOff>265430</xdr:colOff>
      <xdr:row>9</xdr:row>
      <xdr:rowOff>462915</xdr:rowOff>
    </xdr:to>
    <xdr:sp macro="" textlink="" fLocksText="0">
      <xdr:nvSpPr>
        <xdr:cNvPr id="24" name="Равнобедренный треугольник 9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>
          <a:extLst>
            <a:ext uri="smNativeData">
              <pm:smNativeData xmlns="" xmlns:pm="smNativeData" val="SMDATA_13_KLpxaRMAAAAlAAAAagAAAI0AAAAAkAAAAEgAAACQAAAASAAAAAAAAAAAAAAAAAAAAAEAAABQAAAAAAAAAAAA4D8AAAAAAADgPwAAAAAAAOA/AAAAAAAA4D8AAAAAAADgPwAAAAAAAOA/AAAAAAAA4D8AAAAAAADgPwAAAAAAAOA/AAAAAAAA4D8CAAAAjAAAAAEAAAAAAAAAAAAAAAAAAAAAAAAAAAAAAAAAAAAAAAAAAAAAAAAAAAAAAAAAZAAAAAEAAABAAAAAAAAAAAAAAAAAAAAAAAAAAAAAAAAAAAAAAAAAAAAAAAAAAAAAAAAAAAAAAAAAAAAAAAAAAAAAAAAAAAAAAAAAAAAAAAAAAAAAAAAAAAAAAAAAAAAAFAAAADwAAAAB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AkAAAAAAAAATQODAAkAAAAAAAAAiQOWAG0BAACvGAAANQAAADAAAAAAAAAA"/>
            </a:ext>
          </a:extLst>
        </xdr:cNvSpPr>
      </xdr:nvSpPr>
      <xdr:spPr>
        <a:xfrm rot="10800000">
          <a:off x="231775" y="4012565"/>
          <a:ext cx="33655" cy="30480"/>
        </a:xfrm>
        <a:prstGeom prst="triangle">
          <a:avLst>
            <a:gd name="adj" fmla="val 50000"/>
          </a:avLst>
        </a:prstGeom>
        <a:solidFill>
          <a:srgbClr val="000000"/>
        </a:solidFill>
        <a:ln w="12700" cap="flat">
          <a:solidFill>
            <a:srgbClr val="000000"/>
          </a:solidFill>
          <a:prstDash val="solid"/>
          <a:headEnd type="none" w="med" len="med"/>
          <a:tailEnd type="none" w="med" len="med"/>
        </a:ln>
        <a:effectLst/>
      </xdr:spPr>
      <xdr:txBody>
        <a:bodyPr spcFirstLastPara="1" vertOverflow="clip" horzOverflow="clip" wrap="square" lIns="91440" tIns="45720" rIns="91440" bIns="45720" anchor="t" upright="1"/>
        <a:lstStyle/>
        <a:p>
          <a:pPr algn="l" defTabSz="360045" rtl="0">
            <a:defRPr sz="1000"/>
          </a:pPr>
          <a:r>
            <a:rPr lang="ru-ru" sz="1100" b="0" i="0" u="none" strike="noStrike" kern="100" baseline="0">
              <a:solidFill>
                <a:srgbClr val="000000"/>
              </a:solidFill>
              <a:latin typeface="Calibri" pitchFamily="2"/>
              <a:ea typeface="Arial" pitchFamily="2"/>
              <a:cs typeface="Arial" pitchFamily="2"/>
            </a:rPr>
            <a:t> </a:t>
          </a:r>
        </a:p>
      </xdr:txBody>
    </xdr:sp>
    <xdr:clientData/>
  </xdr:twoCellAnchor>
  <xdr:twoCellAnchor>
    <xdr:from>
      <xdr:col>0</xdr:col>
      <xdr:colOff>230505</xdr:colOff>
      <xdr:row>10</xdr:row>
      <xdr:rowOff>31115</xdr:rowOff>
    </xdr:from>
    <xdr:to>
      <xdr:col>0</xdr:col>
      <xdr:colOff>264160</xdr:colOff>
      <xdr:row>10</xdr:row>
      <xdr:rowOff>62230</xdr:rowOff>
    </xdr:to>
    <xdr:sp macro="" textlink="" fLocksText="0">
      <xdr:nvSpPr>
        <xdr:cNvPr id="23" name="Равнобедренный треугольник 10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>
          <a:extLst>
            <a:ext uri="smNativeData">
              <pm:smNativeData xmlns="" xmlns:pm="smNativeData" val="SMDATA_13_KLpxaRMAAAAlAAAAagAAAI0AAAAAkAAAAEgAAACQAAAASAAAAAAAAAAAAAAAAAAAAAEAAABQAAAAAAAAAAAA4D8AAAAAAADgPwAAAAAAAOA/AAAAAAAA4D8AAAAAAADgPwAAAAAAAOA/AAAAAAAA4D8AAAAAAADgPwAAAAAAAOA/AAAAAAAA4D8CAAAAjAAAAAEAAAAAAAAAAAAAAAAAAAAAAAAAAAAAAAAAAAAAAAAAAAAAAAAAAAAAAAAAZAAAAAEAAABAAAAAAAAAAAAAAAAAAAAAAAAAAAAAAAAAAAAAAAAAAAAAAAAAAAAAAAAAAAAAAAAAAAAAAAAAAAAAAAAAAAAAAAAAAAAAAAAAAAAAAAAAAAAAAAAAAAAAFAAAADwAAAAB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AoAAAAAAAAAfACCAAoAAAAAAAAA+ACVAGsBAABwGQAANQAAADEAAAAAAAAA"/>
            </a:ext>
          </a:extLst>
        </xdr:cNvSpPr>
      </xdr:nvSpPr>
      <xdr:spPr>
        <a:xfrm rot="10800000">
          <a:off x="230505" y="4135120"/>
          <a:ext cx="33655" cy="31115"/>
        </a:xfrm>
        <a:prstGeom prst="triangle">
          <a:avLst>
            <a:gd name="adj" fmla="val 50000"/>
          </a:avLst>
        </a:prstGeom>
        <a:solidFill>
          <a:srgbClr val="000000"/>
        </a:solidFill>
        <a:ln w="12700" cap="flat">
          <a:solidFill>
            <a:srgbClr val="000000"/>
          </a:solidFill>
          <a:prstDash val="solid"/>
          <a:headEnd type="none" w="med" len="med"/>
          <a:tailEnd type="none" w="med" len="med"/>
        </a:ln>
        <a:effectLst/>
      </xdr:spPr>
      <xdr:txBody>
        <a:bodyPr spcFirstLastPara="1" vertOverflow="clip" horzOverflow="clip" wrap="square" lIns="91440" tIns="45720" rIns="91440" bIns="45720" anchor="t" upright="1"/>
        <a:lstStyle/>
        <a:p>
          <a:pPr algn="l" defTabSz="360045" rtl="0">
            <a:defRPr sz="1000"/>
          </a:pPr>
          <a:r>
            <a:rPr lang="ru-ru" sz="1100" b="0" i="0" u="none" strike="noStrike" kern="100" baseline="0">
              <a:solidFill>
                <a:srgbClr val="000000"/>
              </a:solidFill>
              <a:latin typeface="Calibri" pitchFamily="2"/>
              <a:ea typeface="Arial" pitchFamily="2"/>
              <a:cs typeface="Arial" pitchFamily="2"/>
            </a:rPr>
            <a:t> </a:t>
          </a:r>
        </a:p>
      </xdr:txBody>
    </xdr:sp>
    <xdr:clientData/>
  </xdr:twoCellAnchor>
  <xdr:twoCellAnchor>
    <xdr:from>
      <xdr:col>0</xdr:col>
      <xdr:colOff>231775</xdr:colOff>
      <xdr:row>13</xdr:row>
      <xdr:rowOff>496570</xdr:rowOff>
    </xdr:from>
    <xdr:to>
      <xdr:col>0</xdr:col>
      <xdr:colOff>265430</xdr:colOff>
      <xdr:row>14</xdr:row>
      <xdr:rowOff>1905</xdr:rowOff>
    </xdr:to>
    <xdr:sp macro="" textlink="" fLocksText="0">
      <xdr:nvSpPr>
        <xdr:cNvPr id="22" name="Равнобедренный треугольник 1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>
          <a:extLst>
            <a:ext uri="smNativeData">
              <pm:smNativeData xmlns="" xmlns:pm="smNativeData" val="SMDATA_13_KLpxaRMAAAAlAAAAagAAAI0AAAAAkAAAAEgAAACQAAAASAAAAAAAAAAAAAAAAAAAAAEAAABQAAAAAAAAAAAA4D8AAAAAAADgPwAAAAAAAOA/AAAAAAAA4D8AAAAAAADgPwAAAAAAAOA/AAAAAAAA4D8AAAAAAADgPwAAAAAAAOA/AAAAAAAA4D8CAAAAjAAAAAEAAAAAAAAAAAAAAAAAAAAAAAAAAAAAAAAAAAAAAAAAAAAAAAAAAAAAAAAAZAAAAAEAAABAAAAAAAAAAAAAAAAAAAAAAAAAAAAAAAAAAAAAAAAAAAAAAAAAAAAAAAAAAAAAAAAAAAAAAAAAAAAAAAAAAAAAAAAAAAAAAAAAAAAAAAAAAAAAAAAAAAAAFAAAADwAAAAB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A0AAAAAAAAAywODAA4AAAAAAAAACACWAG0BAACwIgAANQAAAC4AAAAAAAAA"/>
            </a:ext>
          </a:extLst>
        </xdr:cNvSpPr>
      </xdr:nvSpPr>
      <xdr:spPr>
        <a:xfrm rot="10800000">
          <a:off x="231775" y="5638800"/>
          <a:ext cx="33655" cy="29210"/>
        </a:xfrm>
        <a:prstGeom prst="triangle">
          <a:avLst>
            <a:gd name="adj" fmla="val 50000"/>
          </a:avLst>
        </a:prstGeom>
        <a:solidFill>
          <a:srgbClr val="000000"/>
        </a:solidFill>
        <a:ln w="12700" cap="flat">
          <a:solidFill>
            <a:srgbClr val="000000"/>
          </a:solidFill>
          <a:prstDash val="solid"/>
          <a:headEnd type="none" w="med" len="med"/>
          <a:tailEnd type="none" w="med" len="med"/>
        </a:ln>
        <a:effectLst/>
      </xdr:spPr>
      <xdr:txBody>
        <a:bodyPr spcFirstLastPara="1" vertOverflow="clip" horzOverflow="clip" wrap="square" lIns="91440" tIns="45720" rIns="91440" bIns="45720" anchor="t" upright="1"/>
        <a:lstStyle/>
        <a:p>
          <a:pPr algn="l" defTabSz="360045" rtl="0">
            <a:defRPr sz="1000"/>
          </a:pPr>
          <a:r>
            <a:rPr lang="ru-ru" sz="1100" b="0" i="0" u="none" strike="noStrike" kern="100" baseline="0">
              <a:solidFill>
                <a:srgbClr val="000000"/>
              </a:solidFill>
              <a:latin typeface="Calibri" pitchFamily="2"/>
              <a:ea typeface="Arial" pitchFamily="2"/>
              <a:cs typeface="Arial" pitchFamily="2"/>
            </a:rPr>
            <a:t> </a:t>
          </a:r>
        </a:p>
      </xdr:txBody>
    </xdr:sp>
    <xdr:clientData/>
  </xdr:twoCellAnchor>
  <xdr:twoCellAnchor>
    <xdr:from>
      <xdr:col>0</xdr:col>
      <xdr:colOff>320675</xdr:colOff>
      <xdr:row>14</xdr:row>
      <xdr:rowOff>78740</xdr:rowOff>
    </xdr:from>
    <xdr:to>
      <xdr:col>0</xdr:col>
      <xdr:colOff>354330</xdr:colOff>
      <xdr:row>14</xdr:row>
      <xdr:rowOff>108585</xdr:rowOff>
    </xdr:to>
    <xdr:sp macro="" textlink="" fLocksText="0">
      <xdr:nvSpPr>
        <xdr:cNvPr id="21" name="Равнобедренный треугольник 12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>
          <a:extLst>
            <a:ext uri="smNativeData">
              <pm:smNativeData xmlns="" xmlns:pm="smNativeData" val="SMDATA_13_KLpxaRMAAAAlAAAAagAAAI0AAAAAkAAAAEgAAACQAAAASAAAAAAAAAAAAAAAAAAAAAEAAABQAAAAAAAAAAAA4D8AAAAAAADgPwAAAAAAAOA/AAAAAAAA4D8AAAAAAADgPwAAAAAAAOA/AAAAAAAA4D8AAAAAAADgPwAAAAAAAOA/AAAAAAAA4D8CAAAAjAAAAAEAAAAAAAAAAAAAAAAAAAAAAAAAAAAAAAAAAAAAAAAAAAAAAAAAAAAAAAAAZAAAAAEAAABAAAAAAAAAAAAAAAAAAAAAAAAAAAAAAAAAAAAAAAAAAAAAAAAAAAAAAAAAAAAAAAAAAAAAAAAAAAAAAAAAAAAAAAAAAAAAAAAAAAAAAAAAAAAAAAAAAAAAFAAAADwAAAAB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A4AAAAAAAAAOgG1AA4AAAAAAAAAsAHIAPkBAABXIwAANQAAAC8AAAAAAAAA"/>
            </a:ext>
          </a:extLst>
        </xdr:cNvSpPr>
      </xdr:nvSpPr>
      <xdr:spPr>
        <a:xfrm rot="10800000">
          <a:off x="320675" y="5744845"/>
          <a:ext cx="33655" cy="29845"/>
        </a:xfrm>
        <a:prstGeom prst="triangle">
          <a:avLst>
            <a:gd name="adj" fmla="val 50000"/>
          </a:avLst>
        </a:prstGeom>
        <a:solidFill>
          <a:srgbClr val="000000"/>
        </a:solidFill>
        <a:ln w="12700" cap="flat">
          <a:solidFill>
            <a:srgbClr val="000000"/>
          </a:solidFill>
          <a:prstDash val="solid"/>
          <a:headEnd type="none" w="med" len="med"/>
          <a:tailEnd type="none" w="med" len="med"/>
        </a:ln>
        <a:effectLst/>
      </xdr:spPr>
      <xdr:txBody>
        <a:bodyPr spcFirstLastPara="1" vertOverflow="clip" horzOverflow="clip" wrap="square" lIns="91440" tIns="45720" rIns="91440" bIns="45720" anchor="t" upright="1"/>
        <a:lstStyle/>
        <a:p>
          <a:pPr algn="l" defTabSz="360045" rtl="0">
            <a:defRPr sz="1000"/>
          </a:pPr>
          <a:r>
            <a:rPr lang="ru-ru" sz="1100" b="0" i="0" u="none" strike="noStrike" kern="100" baseline="0">
              <a:solidFill>
                <a:srgbClr val="000000"/>
              </a:solidFill>
              <a:latin typeface="Calibri" pitchFamily="2"/>
              <a:ea typeface="Arial" pitchFamily="2"/>
              <a:cs typeface="Arial" pitchFamily="2"/>
            </a:rPr>
            <a:t> </a:t>
          </a:r>
        </a:p>
      </xdr:txBody>
    </xdr:sp>
    <xdr:clientData/>
  </xdr:twoCellAnchor>
  <xdr:twoCellAnchor>
    <xdr:from>
      <xdr:col>0</xdr:col>
      <xdr:colOff>228600</xdr:colOff>
      <xdr:row>15</xdr:row>
      <xdr:rowOff>494665</xdr:rowOff>
    </xdr:from>
    <xdr:to>
      <xdr:col>0</xdr:col>
      <xdr:colOff>262255</xdr:colOff>
      <xdr:row>15</xdr:row>
      <xdr:rowOff>523875</xdr:rowOff>
    </xdr:to>
    <xdr:sp macro="" textlink="" fLocksText="0">
      <xdr:nvSpPr>
        <xdr:cNvPr id="20" name="Равнобедренный треугольник 13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>
          <a:extLst>
            <a:ext uri="smNativeData">
              <pm:smNativeData xmlns="" xmlns:pm="smNativeData" val="SMDATA_13_KLpxaRMAAAAlAAAAagAAAI0AAAAAkAAAAEgAAACQAAAASAAAAAAAAAAAAAAAAAAAAAEAAABQAAAAAAAAAAAA4D8AAAAAAADgPwAAAAAAAOA/AAAAAAAA4D8AAAAAAADgPwAAAAAAAOA/AAAAAAAA4D8AAAAAAADgPwAAAAAAAOA/AAAAAAAA4D8CAAAAjAAAAAEAAAAAAAAAAAAAAAAAAAAAAAAAAAAAAAAAAAAAAAAAAAAAAAAAAAAAAAAAZAAAAAEAAABAAAAAAAAAAAAAAAAAAAAAAAAAAAAAAAAAAAAAAAAAAAAAAAAAAAAAAAAAAAAAAAAAAAAAAAAAAAAAAAAAAAAAAAAAAAAAAAAAAAAAAAAAAAAAAAAAAAAAFAAAADwAAAAB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I8MAQ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A8AAAAAAAAAxwOBAA8AAAAAAAAAAASUAGgBAAB7JwAANQAAAC4AAAAAAAAA"/>
            </a:ext>
          </a:extLst>
        </xdr:cNvSpPr>
      </xdr:nvSpPr>
      <xdr:spPr>
        <a:xfrm rot="10800000">
          <a:off x="228600" y="6417945"/>
          <a:ext cx="33655" cy="29210"/>
        </a:xfrm>
        <a:prstGeom prst="triangle">
          <a:avLst>
            <a:gd name="adj" fmla="val 50000"/>
          </a:avLst>
        </a:prstGeom>
        <a:solidFill>
          <a:srgbClr val="000000"/>
        </a:solidFill>
        <a:ln w="12700" cap="flat">
          <a:solidFill>
            <a:srgbClr val="000000"/>
          </a:solidFill>
          <a:prstDash val="solid"/>
          <a:headEnd type="none" w="med" len="med"/>
          <a:tailEnd type="none" w="med" len="med"/>
        </a:ln>
        <a:effectLst/>
      </xdr:spPr>
      <xdr:txBody>
        <a:bodyPr spcFirstLastPara="1" vertOverflow="clip" horzOverflow="clip" wrap="square" lIns="91440" tIns="45720" rIns="91440" bIns="45720" anchor="t" upright="1"/>
        <a:lstStyle/>
        <a:p>
          <a:pPr algn="l" defTabSz="360045" rtl="0">
            <a:defRPr sz="1000"/>
          </a:pPr>
          <a:r>
            <a:rPr lang="ru-ru" sz="1100" b="0" i="0" u="none" strike="noStrike" kern="100" baseline="0">
              <a:solidFill>
                <a:srgbClr val="000000"/>
              </a:solidFill>
              <a:latin typeface="Calibri" pitchFamily="2"/>
              <a:ea typeface="Arial" pitchFamily="2"/>
              <a:cs typeface="Arial" pitchFamily="2"/>
            </a:rPr>
            <a:t> </a:t>
          </a:r>
        </a:p>
      </xdr:txBody>
    </xdr:sp>
    <xdr:clientData/>
  </xdr:twoCellAnchor>
  <xdr:twoCellAnchor>
    <xdr:from>
      <xdr:col>0</xdr:col>
      <xdr:colOff>313690</xdr:colOff>
      <xdr:row>16</xdr:row>
      <xdr:rowOff>87630</xdr:rowOff>
    </xdr:from>
    <xdr:to>
      <xdr:col>0</xdr:col>
      <xdr:colOff>348615</xdr:colOff>
      <xdr:row>16</xdr:row>
      <xdr:rowOff>117475</xdr:rowOff>
    </xdr:to>
    <xdr:sp macro="" textlink="" fLocksText="0">
      <xdr:nvSpPr>
        <xdr:cNvPr id="19" name="Равнобедренный треугольник 14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>
          <a:extLst>
            <a:ext uri="smNativeData">
              <pm:smNativeData xmlns="" xmlns:pm="smNativeData" val="SMDATA_13_KLpxaRMAAAAlAAAAagAAAI0AAAAAkAAAAEgAAACQAAAASAAAAAAAAAAAAAAAAAAAAAEAAABQAAAAAAAAAAAA4D8AAAAAAADgPwAAAAAAAOA/AAAAAAAA4D8AAAAAAADgPwAAAAAAAOA/AAAAAAAA4D8AAAAAAADgPwAAAAAAAOA/AAAAAAAA4D8CAAAAjAAAAAEAAAAAAAAAAAAAAAAAAAAAAAAAAAAAAAAAAAAAAAAAAAAAAAAAAAAAAAAAZAAAAAEAAABAAAAAAAAAAAAAAAAAAAAAAAAAAAAAAAAAAAAAAAAAAAAAAAAAAAAAAAAAAAAAAAAAAAAAAAAAAAAAAAAAAAAAAAAAAAAAAAAAAAAAAAAAAAAAAAAAAAAAFAAAADwAAAAB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BAAAAAAAAAAXQGxABAAAAAAAAAA1AHFAO4BAAAzKAAANwAAAC8AAAAAAAAA"/>
            </a:ext>
          </a:extLst>
        </xdr:cNvSpPr>
      </xdr:nvSpPr>
      <xdr:spPr>
        <a:xfrm rot="10800000">
          <a:off x="313690" y="6534785"/>
          <a:ext cx="34925" cy="29845"/>
        </a:xfrm>
        <a:prstGeom prst="triangle">
          <a:avLst>
            <a:gd name="adj" fmla="val 50000"/>
          </a:avLst>
        </a:prstGeom>
        <a:solidFill>
          <a:srgbClr val="000000"/>
        </a:solidFill>
        <a:ln w="12700" cap="flat">
          <a:solidFill>
            <a:srgbClr val="000000"/>
          </a:solidFill>
          <a:prstDash val="solid"/>
          <a:headEnd type="none" w="med" len="med"/>
          <a:tailEnd type="none" w="med" len="med"/>
        </a:ln>
        <a:effectLst/>
      </xdr:spPr>
      <xdr:txBody>
        <a:bodyPr spcFirstLastPara="1" vertOverflow="clip" horzOverflow="clip" wrap="square" lIns="91440" tIns="45720" rIns="91440" bIns="45720" anchor="t" upright="1"/>
        <a:lstStyle/>
        <a:p>
          <a:pPr algn="l" defTabSz="360045" rtl="0">
            <a:defRPr sz="1000"/>
          </a:pPr>
          <a:r>
            <a:rPr lang="ru-ru" sz="1100" b="0" i="0" u="none" strike="noStrike" kern="100" baseline="0">
              <a:solidFill>
                <a:srgbClr val="000000"/>
              </a:solidFill>
              <a:latin typeface="Calibri" pitchFamily="2"/>
              <a:ea typeface="Arial" pitchFamily="2"/>
              <a:cs typeface="Arial" pitchFamily="2"/>
            </a:rPr>
            <a:t> </a:t>
          </a:r>
        </a:p>
      </xdr:txBody>
    </xdr:sp>
    <xdr:clientData/>
  </xdr:twoCellAnchor>
  <xdr:twoCellAnchor>
    <xdr:from>
      <xdr:col>0</xdr:col>
      <xdr:colOff>239395</xdr:colOff>
      <xdr:row>11</xdr:row>
      <xdr:rowOff>490220</xdr:rowOff>
    </xdr:from>
    <xdr:to>
      <xdr:col>0</xdr:col>
      <xdr:colOff>274320</xdr:colOff>
      <xdr:row>11</xdr:row>
      <xdr:rowOff>520065</xdr:rowOff>
    </xdr:to>
    <xdr:sp macro="" textlink="" fLocksText="0">
      <xdr:nvSpPr>
        <xdr:cNvPr id="18" name="Равнобедренный треугольник 15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>
          <a:extLst>
            <a:ext uri="smNativeData">
              <pm:smNativeData xmlns="" xmlns:pm="smNativeData" val="SMDATA_13_KLpxaRMAAAAlAAAAagAAAI0AAAAAkAAAAEgAAACQAAAASAAAAAAAAAAAAAAAAAAAAAEAAABQAAAAAAAAAAAA4D8AAAAAAADgPwAAAAAAAOA/AAAAAAAA4D8AAAAAAADgPwAAAAAAAOA/AAAAAAAA4D8AAAAAAADgPwAAAAAAAOA/AAAAAAAA4D8CAAAAjAAAAAEAAAAAAAAAAAAAAAAAAAAAAAAAAAAAAAAAAAAAAAAAAAAAAAAAAAAAAAAAZAAAAAEAAABAAAAAAAAAAAAAAAAAAAAAAAAAAAAAAAAAAAAAAAAAAAAAAAAAAAAAAAAAAAAAAAAAAAAAAAAAAAAAAAAAAAAAAAAAAAAAAAAAAAAAAAAAAAAAAAAAAAAAFAAAADwAAAAB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AsAAAAAAAAAvgOHAAsAAAAAAAAA+QObAHkBAADYHQAANwAAAC8AAAAAAAAA"/>
            </a:ext>
          </a:extLst>
        </xdr:cNvSpPr>
      </xdr:nvSpPr>
      <xdr:spPr>
        <a:xfrm rot="10800000">
          <a:off x="239395" y="4851400"/>
          <a:ext cx="34925" cy="29845"/>
        </a:xfrm>
        <a:prstGeom prst="triangle">
          <a:avLst>
            <a:gd name="adj" fmla="val 50000"/>
          </a:avLst>
        </a:prstGeom>
        <a:solidFill>
          <a:srgbClr val="000000"/>
        </a:solidFill>
        <a:ln w="12700" cap="flat">
          <a:solidFill>
            <a:srgbClr val="000000"/>
          </a:solidFill>
          <a:prstDash val="solid"/>
          <a:headEnd type="none" w="med" len="med"/>
          <a:tailEnd type="none" w="med" len="med"/>
        </a:ln>
        <a:effectLst/>
      </xdr:spPr>
      <xdr:txBody>
        <a:bodyPr spcFirstLastPara="1" vertOverflow="clip" horzOverflow="clip" wrap="square" lIns="91440" tIns="45720" rIns="91440" bIns="45720" anchor="t" upright="1"/>
        <a:lstStyle/>
        <a:p>
          <a:pPr algn="l" defTabSz="360045" rtl="0">
            <a:defRPr sz="1000"/>
          </a:pPr>
          <a:r>
            <a:rPr lang="ru-ru" sz="1100" b="0" i="0" u="none" strike="noStrike" kern="100" baseline="0">
              <a:solidFill>
                <a:srgbClr val="000000"/>
              </a:solidFill>
              <a:latin typeface="Calibri" pitchFamily="2"/>
              <a:ea typeface="Arial" pitchFamily="2"/>
              <a:cs typeface="Arial" pitchFamily="2"/>
            </a:rPr>
            <a:t> </a:t>
          </a:r>
        </a:p>
      </xdr:txBody>
    </xdr:sp>
    <xdr:clientData/>
  </xdr:twoCellAnchor>
  <xdr:twoCellAnchor>
    <xdr:from>
      <xdr:col>0</xdr:col>
      <xdr:colOff>334645</xdr:colOff>
      <xdr:row>12</xdr:row>
      <xdr:rowOff>79375</xdr:rowOff>
    </xdr:from>
    <xdr:to>
      <xdr:col>0</xdr:col>
      <xdr:colOff>368300</xdr:colOff>
      <xdr:row>12</xdr:row>
      <xdr:rowOff>109855</xdr:rowOff>
    </xdr:to>
    <xdr:sp macro="" textlink="" fLocksText="0">
      <xdr:nvSpPr>
        <xdr:cNvPr id="17" name="Равнобедренный треугольник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>
          <a:extLst>
            <a:ext uri="smNativeData">
              <pm:smNativeData xmlns="" xmlns:pm="smNativeData" val="SMDATA_13_KLpxaRMAAAAlAAAAagAAAI0AAAAAkAAAAEgAAACQAAAASAAAAAAAAAAAAAAAAAAAAAEAAABQAAAAAAAAAAAA4D8AAAAAAADgPwAAAAAAAOA/AAAAAAAA4D8AAAAAAADgPwAAAAAAAOA/AAAAAAAA4D8AAAAAAADgPwAAAAAAAOA/AAAAAAAA4D8CAAAAjAAAAAEAAAAAAAAAAAAAAAAAAAAAAAAAAAAAAAAAAAAAAAAAAAAAAAAAAAAAAAAAZAAAAAEAAABAAAAAAAAAAAAAAAAAAAAAAAAAAAAAAAAAAAAAAAAAAAAAAAAAAAAAAAAAAAAAAAAAAAAAAAAAAAAAAAAAAAAAAAAAAAAAAAAAAAAAAAAAAAAAAAAAAAAAFAAAADwAAAAB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AwAAAAAAAAAPAG9AAwAAAAAAAAAtQHQAA8CAACKHgAANQAAADAAAAAAAAAA"/>
            </a:ext>
          </a:extLst>
        </xdr:cNvSpPr>
      </xdr:nvSpPr>
      <xdr:spPr>
        <a:xfrm rot="10800000">
          <a:off x="334645" y="4964430"/>
          <a:ext cx="33655" cy="30480"/>
        </a:xfrm>
        <a:prstGeom prst="triangle">
          <a:avLst>
            <a:gd name="adj" fmla="val 50000"/>
          </a:avLst>
        </a:prstGeom>
        <a:solidFill>
          <a:srgbClr val="000000"/>
        </a:solidFill>
        <a:ln w="12700" cap="flat">
          <a:solidFill>
            <a:srgbClr val="000000"/>
          </a:solidFill>
          <a:prstDash val="solid"/>
          <a:headEnd type="none" w="med" len="med"/>
          <a:tailEnd type="none" w="med" len="med"/>
        </a:ln>
        <a:effectLst/>
      </xdr:spPr>
      <xdr:txBody>
        <a:bodyPr spcFirstLastPara="1" vertOverflow="clip" horzOverflow="clip" wrap="square" lIns="91440" tIns="45720" rIns="91440" bIns="45720" anchor="t" upright="1"/>
        <a:lstStyle/>
        <a:p>
          <a:pPr algn="l" defTabSz="360045" rtl="0">
            <a:defRPr sz="1000"/>
          </a:pPr>
          <a:r>
            <a:rPr lang="ru-ru" sz="1100" b="0" i="0" u="none" strike="noStrike" kern="100" baseline="0">
              <a:solidFill>
                <a:srgbClr val="000000"/>
              </a:solidFill>
              <a:latin typeface="Calibri" pitchFamily="2"/>
              <a:ea typeface="Arial" pitchFamily="2"/>
              <a:cs typeface="Arial" pitchFamily="2"/>
            </a:rPr>
            <a:t> </a:t>
          </a:r>
        </a:p>
      </xdr:txBody>
    </xdr:sp>
    <xdr:clientData/>
  </xdr:twoCellAnchor>
  <xdr:twoCellAnchor>
    <xdr:from>
      <xdr:col>0</xdr:col>
      <xdr:colOff>226695</xdr:colOff>
      <xdr:row>13</xdr:row>
      <xdr:rowOff>381635</xdr:rowOff>
    </xdr:from>
    <xdr:to>
      <xdr:col>0</xdr:col>
      <xdr:colOff>262255</xdr:colOff>
      <xdr:row>13</xdr:row>
      <xdr:rowOff>412115</xdr:rowOff>
    </xdr:to>
    <xdr:sp macro="" textlink="" fLocksText="0">
      <xdr:nvSpPr>
        <xdr:cNvPr id="16" name="Равнобедренный треугольник 17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>
          <a:extLst>
            <a:ext uri="smNativeData">
              <pm:smNativeData xmlns="" xmlns:pm="smNativeData" val="SMDATA_13_KLpxaRMAAAAlAAAAagAAAI0AAAAAkAAAAEgAAACQAAAASAAAAAAAAAAAAAAAAAAAAAEAAABQAAAAAAAAAAAA4D8AAAAAAADgPwAAAAAAAOA/AAAAAAAA4D8AAAAAAADgPwAAAAAAAOA/AAAAAAAA4D8AAAAAAADgPwAAAAAAAOA/AAAAAAAA4D8CAAAAjAAAAAEAAAAAAAAAAAAAAAAAAAAAAAAAAAAAAAAAAAAAAAAAAAAAAAAAAAAAAAAAZAAAAAEAAABAAAAAAAAAAAAAAAAAAAAAAAAAAAAAAAAAAAAAAAAAAAAAAAAAAAAAAAAAAAAAAAAAAAAAAAAAAAAAAAAAAAAAAAAAAAAAAAAAAAAAAAAAAAAAAAAAAAAAFAAAADwAAAAB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A0AAAAAAAAA6gKAAA0AAAAAAAAAJgOUAGUBAAD7IQAAOAAAADAAAAAAAAAA"/>
            </a:ext>
          </a:extLst>
        </xdr:cNvSpPr>
      </xdr:nvSpPr>
      <xdr:spPr>
        <a:xfrm rot="10800000">
          <a:off x="226695" y="5523865"/>
          <a:ext cx="35560" cy="30480"/>
        </a:xfrm>
        <a:prstGeom prst="triangle">
          <a:avLst>
            <a:gd name="adj" fmla="val 50000"/>
          </a:avLst>
        </a:prstGeom>
        <a:solidFill>
          <a:srgbClr val="000000"/>
        </a:solidFill>
        <a:ln w="12700" cap="flat">
          <a:solidFill>
            <a:srgbClr val="000000"/>
          </a:solidFill>
          <a:prstDash val="solid"/>
          <a:headEnd type="none" w="med" len="med"/>
          <a:tailEnd type="none" w="med" len="med"/>
        </a:ln>
        <a:effectLst/>
      </xdr:spPr>
      <xdr:txBody>
        <a:bodyPr spcFirstLastPara="1" vertOverflow="clip" horzOverflow="clip" wrap="square" lIns="91440" tIns="45720" rIns="91440" bIns="45720" anchor="t" upright="1"/>
        <a:lstStyle/>
        <a:p>
          <a:pPr algn="l" defTabSz="360045" rtl="0">
            <a:defRPr sz="1000"/>
          </a:pPr>
          <a:r>
            <a:rPr lang="ru-ru" sz="1100" b="0" i="0" u="none" strike="noStrike" kern="100" baseline="0">
              <a:solidFill>
                <a:srgbClr val="000000"/>
              </a:solidFill>
              <a:latin typeface="Calibri" pitchFamily="2"/>
              <a:ea typeface="Arial" pitchFamily="2"/>
              <a:cs typeface="Arial" pitchFamily="2"/>
            </a:rPr>
            <a:t> </a:t>
          </a:r>
        </a:p>
      </xdr:txBody>
    </xdr:sp>
    <xdr:clientData/>
  </xdr:twoCellAnchor>
  <xdr:twoCellAnchor>
    <xdr:from>
      <xdr:col>0</xdr:col>
      <xdr:colOff>394970</xdr:colOff>
      <xdr:row>6</xdr:row>
      <xdr:rowOff>138430</xdr:rowOff>
    </xdr:from>
    <xdr:to>
      <xdr:col>0</xdr:col>
      <xdr:colOff>428625</xdr:colOff>
      <xdr:row>6</xdr:row>
      <xdr:rowOff>169545</xdr:rowOff>
    </xdr:to>
    <xdr:sp macro="" textlink="" fLocksText="0">
      <xdr:nvSpPr>
        <xdr:cNvPr id="15" name="Равнобедренный треугольник 18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>
          <a:extLst>
            <a:ext uri="smNativeData">
              <pm:smNativeData xmlns="" xmlns:pm="smNativeData" val="SMDATA_13_KLpxaRMAAAAlAAAAagAAAI0AAAAAkAAAAEgAAACQAAAASAAAAAAAAAAAAAAAAAAAAAEAAABQAAAAAAAAAAAA4D8AAAAAAADgPwAAAAAAAOA/AAAAAAAA4D8AAAAAAADgPwAAAAAAAOA/AAAAAAAA4D8AAAAAAADgPwAAAAAAAOA/AAAAAAAA4D8CAAAAjAAAAAEAAAAAAAAAAAAAAAAAAAAAAAAAAAAAAAAAAAAAAAAAAAAAAAAAAAAAAAAAZAAAAAEAAABAAAAAAAAAAAAAAAAAAAAAAAAAAAAAAAAAAAAAAAAAAAAAAAAAAAAAAAAAAAAAAAAAAAAAAAAAAAAAAAAAAAAAAAAAAAAAAAAAAAAAAAAAAAAAAAAAAAAAFAAAADwAAAAB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AYAAAAAAAAADgLfAAYAAAAAAAAAhQLyAG4CAABqEAAANQAAADEAAAAAAAAA"/>
            </a:ext>
          </a:extLst>
        </xdr:cNvSpPr>
      </xdr:nvSpPr>
      <xdr:spPr>
        <a:xfrm rot="10800000">
          <a:off x="394970" y="2668270"/>
          <a:ext cx="33655" cy="31115"/>
        </a:xfrm>
        <a:prstGeom prst="triangle">
          <a:avLst>
            <a:gd name="adj" fmla="val 50000"/>
          </a:avLst>
        </a:prstGeom>
        <a:solidFill>
          <a:srgbClr val="000000"/>
        </a:solidFill>
        <a:ln w="12700" cap="flat">
          <a:solidFill>
            <a:srgbClr val="000000"/>
          </a:solidFill>
          <a:prstDash val="solid"/>
          <a:headEnd type="none" w="med" len="med"/>
          <a:tailEnd type="none" w="med" len="med"/>
        </a:ln>
        <a:effectLst/>
      </xdr:spPr>
      <xdr:txBody>
        <a:bodyPr spcFirstLastPara="1" vertOverflow="clip" horzOverflow="clip" wrap="square" lIns="91440" tIns="45720" rIns="91440" bIns="45720" anchor="t" upright="1"/>
        <a:lstStyle/>
        <a:p>
          <a:pPr algn="l" defTabSz="360045" rtl="0">
            <a:defRPr sz="1000"/>
          </a:pPr>
          <a:r>
            <a:rPr lang="ru-ru" sz="1100" b="0" i="0" u="none" strike="noStrike" kern="100" baseline="0">
              <a:solidFill>
                <a:srgbClr val="000000"/>
              </a:solidFill>
              <a:latin typeface="Calibri" pitchFamily="2"/>
              <a:ea typeface="Arial" pitchFamily="2"/>
              <a:cs typeface="Arial" pitchFamily="2"/>
            </a:rPr>
            <a:t>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C641"/>
  <sheetViews>
    <sheetView tabSelected="1" topLeftCell="A13" zoomScale="106" workbookViewId="0">
      <selection activeCell="H23" sqref="H23"/>
    </sheetView>
  </sheetViews>
  <sheetFormatPr defaultColWidth="8.6640625" defaultRowHeight="13.8" x14ac:dyDescent="0.25"/>
  <cols>
    <col min="1" max="1" width="25.44140625" style="1" customWidth="1"/>
    <col min="2" max="15" width="9.77734375" style="1" customWidth="1"/>
    <col min="16" max="18" width="11.33203125" style="1" customWidth="1"/>
    <col min="19" max="19" width="11.44140625" style="3" customWidth="1"/>
    <col min="20" max="20" width="11.44140625" style="1" customWidth="1"/>
    <col min="21" max="22" width="10.88671875" style="1" customWidth="1"/>
    <col min="23" max="23" width="17.33203125" style="1" customWidth="1"/>
    <col min="24" max="24" width="13.33203125" style="1" customWidth="1"/>
    <col min="25" max="25" width="17.33203125" style="1" customWidth="1"/>
    <col min="26" max="26" width="14.109375" style="1" customWidth="1"/>
    <col min="27" max="64" width="7.109375" style="1" hidden="1" customWidth="1"/>
    <col min="65" max="89" width="7.109375" style="2" hidden="1" customWidth="1"/>
    <col min="90" max="122" width="7.109375" style="1" hidden="1" customWidth="1"/>
    <col min="123" max="144" width="7.44140625" style="1" hidden="1" customWidth="1"/>
    <col min="145" max="168" width="9" style="1" hidden="1" customWidth="1"/>
    <col min="169" max="178" width="7.88671875" style="1" hidden="1" customWidth="1"/>
    <col min="179" max="179" width="7.88671875" style="1" customWidth="1"/>
    <col min="180" max="180" width="13.109375" style="1" customWidth="1"/>
    <col min="181" max="16384" width="8.6640625" style="1"/>
  </cols>
  <sheetData>
    <row r="1" spans="1:204" ht="29.4" customHeight="1" x14ac:dyDescent="0.55000000000000004">
      <c r="A1" s="173" t="s">
        <v>0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22"/>
      <c r="Q1" s="122"/>
      <c r="R1" s="122"/>
      <c r="S1" s="122"/>
      <c r="T1" s="122"/>
      <c r="U1" s="122"/>
      <c r="V1" s="122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1"/>
      <c r="AI1" s="121"/>
      <c r="AJ1" s="121"/>
      <c r="AK1" s="121"/>
      <c r="AL1" s="121"/>
      <c r="AM1" s="121"/>
      <c r="AN1" s="121"/>
      <c r="AO1" s="121"/>
      <c r="AP1" s="121"/>
      <c r="AQ1" s="121"/>
      <c r="AR1" s="121"/>
      <c r="AS1" s="121"/>
      <c r="AT1" s="121"/>
      <c r="AU1" s="121"/>
      <c r="AV1" s="121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FZ1" s="113"/>
    </row>
    <row r="2" spans="1:204" ht="36" customHeight="1" x14ac:dyDescent="0.55000000000000004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174">
        <v>46007</v>
      </c>
      <c r="M2" s="174"/>
      <c r="N2" s="174"/>
      <c r="O2" s="174"/>
      <c r="P2" s="120"/>
      <c r="Q2" s="119"/>
      <c r="R2" s="119"/>
      <c r="W2" s="117"/>
      <c r="X2" s="117"/>
      <c r="Y2" s="117"/>
      <c r="Z2" s="117"/>
      <c r="AA2" s="118"/>
      <c r="AB2" s="117"/>
      <c r="AC2" s="117"/>
      <c r="AD2" s="117"/>
      <c r="AE2" s="117"/>
      <c r="AF2" s="117"/>
      <c r="AG2" s="117"/>
      <c r="AH2" s="117"/>
      <c r="AI2" s="117"/>
      <c r="AJ2" s="117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FZ2" s="113"/>
    </row>
    <row r="3" spans="1:204" ht="33" customHeight="1" x14ac:dyDescent="0.25">
      <c r="A3" s="182" t="s">
        <v>1</v>
      </c>
      <c r="B3" s="130" t="s">
        <v>2</v>
      </c>
      <c r="C3" s="175" t="s">
        <v>3</v>
      </c>
      <c r="D3" s="176"/>
      <c r="E3" s="176"/>
      <c r="F3" s="175" t="s">
        <v>4</v>
      </c>
      <c r="G3" s="176"/>
      <c r="H3" s="177"/>
      <c r="I3" s="175" t="s">
        <v>5</v>
      </c>
      <c r="J3" s="176"/>
      <c r="K3" s="177"/>
      <c r="L3" s="178" t="s">
        <v>6</v>
      </c>
      <c r="M3" s="179"/>
      <c r="N3" s="178" t="s">
        <v>7</v>
      </c>
      <c r="O3" s="179"/>
      <c r="P3" s="2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116"/>
      <c r="AH3" s="115"/>
      <c r="AI3" s="114"/>
      <c r="AJ3" s="114"/>
      <c r="AK3" s="11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FS3" s="113"/>
    </row>
    <row r="4" spans="1:204" ht="33" customHeight="1" x14ac:dyDescent="0.3">
      <c r="A4" s="183"/>
      <c r="B4" s="187">
        <f>L2</f>
        <v>46007</v>
      </c>
      <c r="C4" s="170">
        <f>L2</f>
        <v>46007</v>
      </c>
      <c r="D4" s="184" t="s">
        <v>8</v>
      </c>
      <c r="E4" s="185"/>
      <c r="F4" s="129">
        <f>L2</f>
        <v>46007</v>
      </c>
      <c r="G4" s="184" t="s">
        <v>9</v>
      </c>
      <c r="H4" s="185"/>
      <c r="I4" s="170">
        <f>L2</f>
        <v>46007</v>
      </c>
      <c r="J4" s="184" t="s">
        <v>8</v>
      </c>
      <c r="K4" s="186"/>
      <c r="L4" s="180"/>
      <c r="M4" s="181"/>
      <c r="N4" s="180"/>
      <c r="O4" s="181"/>
      <c r="P4" s="111"/>
      <c r="Q4" s="111"/>
      <c r="R4" s="111"/>
      <c r="S4" s="112"/>
      <c r="T4" s="123"/>
      <c r="U4" s="123"/>
      <c r="V4" s="123"/>
      <c r="W4" s="123"/>
      <c r="X4" s="123"/>
      <c r="Y4" s="123"/>
      <c r="Z4" s="123"/>
      <c r="AA4" s="123"/>
      <c r="AB4" s="123"/>
      <c r="AC4" s="123"/>
      <c r="AD4" s="123"/>
      <c r="AE4" s="123"/>
      <c r="AF4" s="123"/>
      <c r="AG4" s="123"/>
      <c r="AH4" s="123"/>
      <c r="AI4" s="123"/>
      <c r="AJ4" s="123"/>
      <c r="AK4" s="123"/>
      <c r="AL4" s="123"/>
      <c r="AM4" s="123"/>
      <c r="AN4" s="123"/>
      <c r="AO4" s="123"/>
      <c r="AP4" s="123"/>
      <c r="AQ4" s="123"/>
      <c r="AR4" s="123"/>
      <c r="AS4" s="123"/>
      <c r="AT4" s="123"/>
      <c r="AU4" s="123"/>
      <c r="AV4" s="123"/>
      <c r="AW4" s="123"/>
      <c r="AX4" s="123"/>
      <c r="AY4" s="123"/>
      <c r="AZ4" s="123"/>
      <c r="BA4" s="123"/>
      <c r="BB4" s="123"/>
      <c r="BC4" s="123"/>
      <c r="BD4" s="123"/>
      <c r="BE4" s="123"/>
      <c r="BF4" s="123"/>
      <c r="BG4" s="123"/>
      <c r="BH4" s="123"/>
      <c r="BI4" s="123"/>
      <c r="BJ4" s="123"/>
      <c r="BK4" s="123"/>
      <c r="BL4" s="123"/>
      <c r="BM4" s="123"/>
      <c r="BN4" s="123"/>
      <c r="BO4" s="123"/>
      <c r="BP4" s="123"/>
      <c r="BQ4" s="123"/>
      <c r="BR4" s="123"/>
      <c r="BS4" s="123"/>
      <c r="BT4" s="123"/>
      <c r="BU4" s="123"/>
      <c r="BV4" s="123"/>
      <c r="BW4" s="123"/>
      <c r="BX4" s="123"/>
      <c r="BY4" s="123"/>
      <c r="BZ4" s="123"/>
      <c r="CA4" s="123"/>
      <c r="CB4" s="123"/>
      <c r="CC4" s="123"/>
      <c r="CD4" s="123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</row>
    <row r="5" spans="1:204" ht="24" customHeight="1" x14ac:dyDescent="0.25">
      <c r="A5" s="183"/>
      <c r="B5" s="188"/>
      <c r="C5" s="170"/>
      <c r="D5" s="126">
        <f>YEAR($L$2)-1</f>
        <v>2024</v>
      </c>
      <c r="E5" s="126">
        <f>YEAR($L$2)-2</f>
        <v>2023</v>
      </c>
      <c r="F5" s="110" t="s">
        <v>10</v>
      </c>
      <c r="G5" s="126">
        <f>YEAR($L$2)-1</f>
        <v>2024</v>
      </c>
      <c r="H5" s="126">
        <f>YEAR($L$2)-2</f>
        <v>2023</v>
      </c>
      <c r="I5" s="170"/>
      <c r="J5" s="126">
        <f>YEAR($L$2)-1</f>
        <v>2024</v>
      </c>
      <c r="K5" s="126">
        <f>YEAR($L$2)-2</f>
        <v>2023</v>
      </c>
      <c r="L5" s="126">
        <f>YEAR($L$2)</f>
        <v>2025</v>
      </c>
      <c r="M5" s="126">
        <f>YEAR($L$2)-1</f>
        <v>2024</v>
      </c>
      <c r="N5" s="126">
        <f>YEAR($L$2)</f>
        <v>2025</v>
      </c>
      <c r="O5" s="126">
        <f>YEAR($L$2)-1</f>
        <v>2024</v>
      </c>
      <c r="P5" s="5"/>
      <c r="Q5" s="5"/>
      <c r="R5" s="5"/>
      <c r="S5" s="5"/>
      <c r="T5" s="109"/>
      <c r="U5" s="109"/>
      <c r="V5" s="109"/>
      <c r="W5" s="109"/>
      <c r="X5" s="109"/>
      <c r="Y5" s="109"/>
      <c r="Z5" s="109"/>
      <c r="AA5" s="109"/>
      <c r="AB5" s="107"/>
      <c r="AC5" s="107"/>
      <c r="AD5" s="107"/>
      <c r="AE5" s="107"/>
      <c r="AF5" s="107"/>
      <c r="AG5" s="107"/>
      <c r="AH5" s="107"/>
      <c r="AI5" s="107"/>
      <c r="AJ5" s="107"/>
      <c r="AK5" s="107"/>
      <c r="AL5" s="107"/>
      <c r="AM5" s="107"/>
      <c r="AN5" s="107"/>
      <c r="AO5" s="107"/>
      <c r="AP5" s="107"/>
      <c r="AQ5" s="107"/>
      <c r="AR5" s="107"/>
      <c r="AS5" s="107"/>
      <c r="AT5" s="107"/>
      <c r="AU5" s="107"/>
      <c r="AV5" s="107"/>
      <c r="AW5" s="107"/>
      <c r="AX5" s="107"/>
      <c r="AY5" s="107"/>
      <c r="AZ5" s="107"/>
      <c r="BA5" s="107"/>
      <c r="BB5" s="107"/>
      <c r="BC5" s="107"/>
      <c r="BD5" s="107"/>
      <c r="BE5" s="107"/>
      <c r="BF5" s="108"/>
      <c r="BG5" s="108"/>
      <c r="BH5" s="108"/>
      <c r="BI5" s="108"/>
      <c r="BJ5" s="108"/>
      <c r="BK5" s="108"/>
      <c r="BL5" s="108"/>
      <c r="BM5" s="108"/>
      <c r="BN5" s="108"/>
      <c r="BO5" s="108"/>
      <c r="BP5" s="108"/>
      <c r="BQ5" s="108"/>
      <c r="BR5" s="108"/>
      <c r="BS5" s="108"/>
      <c r="BT5" s="108"/>
      <c r="BU5" s="108"/>
      <c r="BV5" s="108"/>
      <c r="BW5" s="108"/>
      <c r="BX5" s="108"/>
      <c r="BY5" s="108"/>
      <c r="BZ5" s="108"/>
      <c r="CA5" s="108"/>
      <c r="CB5" s="108"/>
      <c r="CC5" s="108"/>
      <c r="CD5" s="108"/>
      <c r="CE5" s="108"/>
      <c r="CF5" s="108"/>
      <c r="CG5" s="108"/>
      <c r="CH5" s="108"/>
      <c r="CI5" s="108"/>
      <c r="CJ5" s="108"/>
      <c r="CK5" s="108"/>
      <c r="CL5" s="108"/>
      <c r="CM5" s="108"/>
      <c r="CN5" s="108"/>
      <c r="CO5" s="108"/>
      <c r="CP5" s="108"/>
      <c r="CQ5" s="108"/>
      <c r="CR5" s="108"/>
      <c r="CS5" s="108"/>
      <c r="CT5" s="108"/>
      <c r="CU5" s="108"/>
      <c r="CV5" s="108"/>
      <c r="CW5" s="108"/>
      <c r="CX5" s="108"/>
      <c r="CY5" s="108"/>
      <c r="CZ5" s="108"/>
      <c r="DA5" s="108"/>
      <c r="DB5" s="108"/>
      <c r="DC5" s="108"/>
      <c r="DD5" s="108"/>
      <c r="DE5" s="108"/>
      <c r="DF5" s="108"/>
      <c r="DG5" s="108"/>
      <c r="DH5" s="108"/>
      <c r="DI5" s="108"/>
      <c r="DJ5" s="108"/>
      <c r="DK5" s="108"/>
      <c r="DL5" s="108"/>
      <c r="DM5" s="108"/>
      <c r="DN5" s="108"/>
      <c r="DO5" s="108"/>
      <c r="DP5" s="108"/>
      <c r="DQ5" s="108"/>
      <c r="DR5" s="108"/>
      <c r="DS5" s="108"/>
      <c r="DT5" s="108"/>
      <c r="DU5" s="108"/>
      <c r="DV5" s="108"/>
      <c r="DW5" s="108"/>
      <c r="DX5" s="108"/>
      <c r="DY5" s="108"/>
      <c r="DZ5" s="108"/>
      <c r="EA5" s="108"/>
      <c r="EB5" s="108"/>
      <c r="EC5" s="108"/>
      <c r="ED5" s="108"/>
      <c r="EE5" s="108"/>
      <c r="EF5" s="108"/>
      <c r="EG5" s="108"/>
      <c r="EH5" s="107"/>
      <c r="EI5" s="107"/>
      <c r="EJ5" s="107"/>
      <c r="EK5" s="107"/>
      <c r="EL5" s="107"/>
      <c r="EM5" s="107"/>
      <c r="EN5" s="107"/>
      <c r="EO5" s="107"/>
      <c r="EP5" s="107"/>
      <c r="EQ5" s="107"/>
      <c r="ER5" s="107"/>
      <c r="ES5" s="107"/>
      <c r="ET5" s="107"/>
      <c r="EU5" s="107"/>
      <c r="EV5" s="107"/>
      <c r="EW5" s="107"/>
      <c r="EX5" s="107"/>
      <c r="EY5" s="107"/>
      <c r="EZ5" s="107"/>
      <c r="FA5" s="107"/>
      <c r="FB5" s="107"/>
      <c r="FC5" s="107"/>
      <c r="FD5" s="107"/>
      <c r="FE5" s="107"/>
      <c r="FF5" s="107"/>
      <c r="FG5" s="107"/>
      <c r="FH5" s="107"/>
      <c r="FI5" s="107"/>
      <c r="FJ5" s="107"/>
      <c r="FK5" s="107"/>
      <c r="FL5" s="107"/>
      <c r="FM5" s="107"/>
      <c r="FN5" s="107"/>
      <c r="FO5" s="107"/>
      <c r="FP5" s="107"/>
      <c r="FQ5" s="107"/>
      <c r="FR5" s="107"/>
      <c r="FS5" s="107"/>
      <c r="FT5" s="107"/>
      <c r="FU5" s="107"/>
      <c r="FV5" s="107"/>
      <c r="FW5" s="107"/>
      <c r="FX5" s="107"/>
      <c r="FY5" s="107"/>
      <c r="FZ5" s="107"/>
      <c r="GA5" s="107"/>
      <c r="GB5" s="107"/>
      <c r="GC5" s="107"/>
      <c r="GD5" s="107"/>
      <c r="GE5" s="107"/>
      <c r="GF5" s="107"/>
      <c r="GG5" s="107"/>
      <c r="GH5" s="107"/>
      <c r="GI5" s="107"/>
      <c r="GJ5" s="107"/>
      <c r="GK5" s="107"/>
      <c r="GL5" s="107"/>
      <c r="GM5" s="107"/>
      <c r="GN5" s="107"/>
      <c r="GO5" s="107"/>
      <c r="GP5" s="107"/>
      <c r="GQ5" s="107"/>
      <c r="GR5" s="107"/>
      <c r="GS5" s="107"/>
      <c r="GT5" s="107"/>
      <c r="GU5" s="107"/>
      <c r="GV5" s="107"/>
    </row>
    <row r="6" spans="1:204" s="83" customFormat="1" ht="43.8" customHeight="1" x14ac:dyDescent="0.25">
      <c r="A6" s="166" t="s">
        <v>11</v>
      </c>
      <c r="B6" s="89">
        <v>1</v>
      </c>
      <c r="C6" s="89">
        <v>1</v>
      </c>
      <c r="D6" s="131">
        <v>1</v>
      </c>
      <c r="E6" s="132">
        <v>1</v>
      </c>
      <c r="F6" s="67">
        <v>1</v>
      </c>
      <c r="G6" s="91">
        <v>1</v>
      </c>
      <c r="H6" s="90">
        <v>1</v>
      </c>
      <c r="I6" s="67">
        <v>1</v>
      </c>
      <c r="J6" s="91">
        <v>1</v>
      </c>
      <c r="K6" s="90">
        <v>1</v>
      </c>
      <c r="L6" s="106">
        <v>1</v>
      </c>
      <c r="M6" s="105">
        <v>1</v>
      </c>
      <c r="N6" s="67">
        <v>1</v>
      </c>
      <c r="O6" s="66">
        <v>1</v>
      </c>
      <c r="P6" s="100"/>
      <c r="Q6" s="100"/>
      <c r="R6" s="102"/>
      <c r="S6" s="87"/>
      <c r="T6" s="98"/>
      <c r="U6" s="98"/>
      <c r="V6" s="98"/>
      <c r="W6" s="98"/>
      <c r="X6" s="98"/>
      <c r="Y6" s="98"/>
      <c r="Z6" s="98"/>
      <c r="AA6" s="98"/>
      <c r="AB6" s="98"/>
      <c r="AC6" s="98"/>
      <c r="AD6" s="98"/>
      <c r="AE6" s="98"/>
      <c r="AF6" s="98"/>
      <c r="AG6" s="98"/>
      <c r="AH6" s="98"/>
      <c r="AI6" s="98"/>
      <c r="AJ6" s="98"/>
      <c r="AK6" s="98"/>
      <c r="AL6" s="98"/>
      <c r="AM6" s="98"/>
      <c r="AN6" s="98"/>
      <c r="AO6" s="98"/>
      <c r="AP6" s="98"/>
      <c r="AQ6" s="98"/>
      <c r="AR6" s="98"/>
      <c r="AS6" s="98"/>
      <c r="AT6" s="96"/>
      <c r="AU6" s="96"/>
      <c r="AV6" s="96"/>
      <c r="AW6" s="96"/>
      <c r="AX6" s="96"/>
      <c r="AY6" s="96"/>
      <c r="AZ6" s="96"/>
      <c r="BA6" s="96"/>
      <c r="BB6" s="96"/>
      <c r="BC6" s="96"/>
      <c r="BD6" s="96"/>
      <c r="BE6" s="96"/>
      <c r="BF6" s="97"/>
      <c r="BG6" s="97"/>
      <c r="BH6" s="97"/>
      <c r="BI6" s="97"/>
      <c r="BJ6" s="97"/>
      <c r="BK6" s="97"/>
      <c r="BL6" s="97"/>
      <c r="BM6" s="97"/>
      <c r="BN6" s="97"/>
      <c r="BO6" s="97"/>
      <c r="BP6" s="97"/>
      <c r="BQ6" s="97"/>
      <c r="BR6" s="97"/>
      <c r="BS6" s="97"/>
      <c r="BT6" s="97"/>
      <c r="BU6" s="97"/>
      <c r="BV6" s="97"/>
      <c r="BW6" s="97"/>
      <c r="BX6" s="97"/>
      <c r="BY6" s="97"/>
      <c r="BZ6" s="97"/>
      <c r="CA6" s="97"/>
      <c r="CB6" s="97"/>
      <c r="CC6" s="97"/>
      <c r="CD6" s="97"/>
      <c r="CE6" s="97"/>
      <c r="CF6" s="97"/>
      <c r="CG6" s="97"/>
      <c r="CH6" s="97"/>
      <c r="CI6" s="97"/>
      <c r="CJ6" s="97"/>
      <c r="CK6" s="97"/>
      <c r="CL6" s="97"/>
      <c r="CM6" s="97"/>
      <c r="CN6" s="97"/>
      <c r="CO6" s="97"/>
      <c r="CP6" s="97"/>
      <c r="CQ6" s="97"/>
      <c r="CR6" s="97"/>
      <c r="CS6" s="97"/>
      <c r="CT6" s="97"/>
      <c r="CU6" s="97"/>
      <c r="CV6" s="97"/>
      <c r="CW6" s="97"/>
      <c r="CX6" s="97"/>
      <c r="CY6" s="97"/>
      <c r="CZ6" s="97"/>
      <c r="DA6" s="97"/>
      <c r="DB6" s="97"/>
      <c r="DC6" s="97"/>
      <c r="DD6" s="97"/>
      <c r="DE6" s="97"/>
      <c r="DF6" s="97"/>
      <c r="DG6" s="97"/>
      <c r="DH6" s="97"/>
      <c r="DI6" s="97"/>
      <c r="DJ6" s="97"/>
      <c r="DK6" s="97"/>
      <c r="DL6" s="97"/>
      <c r="DM6" s="97"/>
      <c r="DN6" s="97"/>
      <c r="DO6" s="97"/>
      <c r="DP6" s="97"/>
      <c r="DQ6" s="97"/>
      <c r="DR6" s="97"/>
      <c r="DS6" s="97"/>
      <c r="DT6" s="97"/>
      <c r="DU6" s="97"/>
      <c r="DV6" s="97"/>
      <c r="DW6" s="97"/>
      <c r="DX6" s="97"/>
      <c r="DY6" s="97"/>
      <c r="DZ6" s="97"/>
      <c r="EA6" s="97"/>
      <c r="EB6" s="97"/>
      <c r="EC6" s="97"/>
      <c r="ED6" s="97"/>
      <c r="EE6" s="97"/>
      <c r="EF6" s="97"/>
      <c r="EG6" s="97"/>
      <c r="EH6" s="96"/>
      <c r="EI6" s="96"/>
      <c r="EJ6" s="96"/>
      <c r="EK6" s="96"/>
      <c r="EL6" s="96"/>
      <c r="EM6" s="96"/>
      <c r="EN6" s="96"/>
      <c r="EO6" s="96"/>
      <c r="EP6" s="96"/>
      <c r="EQ6" s="96"/>
      <c r="ER6" s="96"/>
      <c r="ES6" s="96"/>
      <c r="ET6" s="96"/>
      <c r="EU6" s="96"/>
      <c r="EV6" s="96"/>
      <c r="EW6" s="96"/>
      <c r="EX6" s="96"/>
      <c r="EY6" s="96"/>
      <c r="EZ6" s="96"/>
      <c r="FA6" s="96"/>
      <c r="FB6" s="96"/>
      <c r="FC6" s="96"/>
      <c r="FD6" s="96"/>
      <c r="FE6" s="96"/>
      <c r="FF6" s="96"/>
      <c r="FG6" s="96"/>
      <c r="FH6" s="96"/>
      <c r="FI6" s="96"/>
      <c r="FJ6" s="96"/>
      <c r="FK6" s="96"/>
      <c r="FL6" s="96"/>
      <c r="FM6" s="96"/>
      <c r="FN6" s="96"/>
      <c r="FO6" s="96"/>
      <c r="FP6" s="96"/>
      <c r="FQ6" s="96"/>
      <c r="FR6" s="96"/>
      <c r="FS6" s="96"/>
      <c r="FT6" s="96"/>
      <c r="FU6" s="96"/>
      <c r="FV6" s="96"/>
      <c r="FW6" s="96"/>
      <c r="FX6" s="96"/>
      <c r="FY6" s="96"/>
      <c r="FZ6" s="96"/>
      <c r="GA6" s="96"/>
      <c r="GB6" s="96"/>
      <c r="GC6" s="96"/>
      <c r="GD6" s="96"/>
      <c r="GE6" s="96"/>
      <c r="GF6" s="96"/>
      <c r="GG6" s="96"/>
      <c r="GH6" s="96"/>
      <c r="GI6" s="96"/>
      <c r="GJ6" s="96"/>
      <c r="GK6" s="96"/>
      <c r="GL6" s="96"/>
      <c r="GM6" s="96"/>
      <c r="GN6" s="96"/>
      <c r="GO6" s="96"/>
      <c r="GP6" s="96"/>
      <c r="GQ6" s="96"/>
      <c r="GR6" s="96"/>
      <c r="GS6" s="96"/>
      <c r="GT6" s="96"/>
      <c r="GU6" s="96"/>
      <c r="GV6" s="96"/>
    </row>
    <row r="7" spans="1:204" ht="21.15" customHeight="1" x14ac:dyDescent="0.25">
      <c r="A7" s="166"/>
      <c r="B7" s="133" t="s">
        <v>12</v>
      </c>
      <c r="C7" s="133" t="s">
        <v>13</v>
      </c>
      <c r="D7" s="133">
        <f>C6-D6</f>
        <v>0</v>
      </c>
      <c r="E7" s="133">
        <f>C6-E6</f>
        <v>0</v>
      </c>
      <c r="F7" s="134" t="s">
        <v>14</v>
      </c>
      <c r="G7" s="134">
        <f>F6-G6</f>
        <v>0</v>
      </c>
      <c r="H7" s="134">
        <f>F6-H6</f>
        <v>0</v>
      </c>
      <c r="I7" s="134" t="s">
        <v>14</v>
      </c>
      <c r="J7" s="134">
        <f>I6-J6</f>
        <v>0</v>
      </c>
      <c r="K7" s="134">
        <f>I6-K6</f>
        <v>0</v>
      </c>
      <c r="L7" s="133">
        <f>L6-M6</f>
        <v>0</v>
      </c>
      <c r="M7" s="82">
        <f>IFERROR(L6/M6, 0)</f>
        <v>1</v>
      </c>
      <c r="N7" s="157">
        <f>N6-O6</f>
        <v>0</v>
      </c>
      <c r="O7" s="158" t="str">
        <f>IF(TEXT(N6-O6,"+0,0; -0,0")="+0,0","0,0",TEXT(N6-O6,"+0,0; -0,0"))</f>
        <v>0,0</v>
      </c>
      <c r="P7" s="79"/>
      <c r="Q7" s="79"/>
      <c r="R7" s="99"/>
      <c r="S7" s="87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  <c r="AH7" s="94"/>
      <c r="AI7" s="104"/>
      <c r="AJ7" s="104"/>
      <c r="AK7" s="104"/>
      <c r="AL7" s="104"/>
      <c r="AM7" s="104"/>
      <c r="AN7" s="104"/>
      <c r="AO7" s="104"/>
      <c r="AP7" s="104"/>
      <c r="AQ7" s="104"/>
      <c r="AR7" s="104"/>
      <c r="AS7" s="104"/>
      <c r="AT7" s="104"/>
      <c r="AU7" s="104"/>
      <c r="AV7" s="104"/>
      <c r="AW7" s="104"/>
      <c r="AX7" s="104"/>
      <c r="AY7" s="104"/>
      <c r="AZ7" s="104"/>
      <c r="BA7" s="104"/>
      <c r="BB7" s="104"/>
      <c r="BC7" s="104"/>
      <c r="BD7" s="104"/>
      <c r="BE7" s="104"/>
      <c r="BF7" s="104"/>
      <c r="BG7" s="104"/>
      <c r="BH7" s="104"/>
      <c r="BI7" s="104"/>
      <c r="BJ7" s="104"/>
      <c r="BK7" s="104"/>
      <c r="BL7" s="104"/>
      <c r="BM7" s="104"/>
      <c r="BN7" s="104"/>
      <c r="BO7" s="104"/>
      <c r="BP7" s="104"/>
      <c r="BQ7" s="104"/>
      <c r="BR7" s="104"/>
      <c r="BS7" s="104"/>
      <c r="BT7" s="104"/>
      <c r="BU7" s="104"/>
      <c r="BV7" s="104"/>
      <c r="BW7" s="104"/>
      <c r="BX7" s="104"/>
      <c r="BY7" s="104"/>
      <c r="BZ7" s="104"/>
      <c r="CA7" s="104"/>
      <c r="CB7" s="104"/>
      <c r="CC7" s="104"/>
      <c r="CD7" s="104"/>
      <c r="CE7" s="104"/>
      <c r="CF7" s="104"/>
      <c r="CG7" s="104"/>
      <c r="CH7" s="104"/>
      <c r="CI7" s="104"/>
      <c r="CJ7" s="104"/>
      <c r="CK7" s="104"/>
      <c r="CL7" s="104"/>
      <c r="CM7" s="104"/>
      <c r="CN7" s="104"/>
      <c r="CO7" s="104"/>
      <c r="CP7" s="104"/>
      <c r="CQ7" s="104"/>
      <c r="CR7" s="104"/>
      <c r="CS7" s="104"/>
      <c r="CT7" s="104"/>
      <c r="CU7" s="104"/>
      <c r="CV7" s="104"/>
      <c r="CW7" s="104"/>
      <c r="CX7" s="104"/>
      <c r="CY7" s="104"/>
      <c r="CZ7" s="104"/>
      <c r="DA7" s="104"/>
      <c r="DB7" s="104"/>
      <c r="DC7" s="104"/>
      <c r="DD7" s="104"/>
      <c r="DE7" s="104"/>
      <c r="DF7" s="104"/>
      <c r="DG7" s="104"/>
      <c r="DH7" s="104"/>
      <c r="DI7" s="104"/>
      <c r="DJ7" s="104"/>
      <c r="DK7" s="104"/>
      <c r="DL7" s="104"/>
      <c r="DM7" s="104"/>
      <c r="DN7" s="104"/>
      <c r="DO7" s="104"/>
      <c r="DP7" s="104"/>
      <c r="DQ7" s="104"/>
      <c r="DR7" s="104"/>
      <c r="DS7" s="104"/>
      <c r="DT7" s="104"/>
      <c r="DU7" s="104"/>
      <c r="DV7" s="104"/>
      <c r="DW7" s="104"/>
      <c r="DX7" s="104"/>
      <c r="DY7" s="104"/>
      <c r="DZ7" s="104"/>
      <c r="EA7" s="104"/>
      <c r="EB7" s="104"/>
      <c r="EC7" s="104"/>
      <c r="ED7" s="104"/>
      <c r="EE7" s="104"/>
      <c r="EF7" s="104"/>
      <c r="EG7" s="104"/>
      <c r="EH7" s="103"/>
      <c r="EI7" s="103"/>
      <c r="EJ7" s="103"/>
      <c r="EK7" s="103"/>
      <c r="EL7" s="103"/>
      <c r="EM7" s="103"/>
      <c r="EN7" s="103"/>
      <c r="EO7" s="103"/>
      <c r="EP7" s="103"/>
      <c r="EQ7" s="103"/>
      <c r="ER7" s="103"/>
      <c r="ES7" s="103"/>
      <c r="ET7" s="103"/>
      <c r="EU7" s="103"/>
      <c r="EV7" s="103"/>
      <c r="EW7" s="103"/>
      <c r="EX7" s="103"/>
      <c r="EY7" s="103"/>
      <c r="EZ7" s="103"/>
      <c r="FA7" s="103"/>
      <c r="FB7" s="103"/>
      <c r="FC7" s="103"/>
      <c r="FD7" s="103"/>
      <c r="FE7" s="103"/>
      <c r="FF7" s="103"/>
      <c r="FG7" s="103"/>
      <c r="FH7" s="103"/>
      <c r="FI7" s="103"/>
      <c r="FJ7" s="103"/>
      <c r="FK7" s="103"/>
      <c r="FL7" s="103"/>
      <c r="FM7" s="103"/>
      <c r="FN7" s="103"/>
      <c r="FO7" s="103"/>
      <c r="FP7" s="103"/>
      <c r="FQ7" s="103"/>
      <c r="FR7" s="103"/>
      <c r="FS7" s="103"/>
      <c r="FT7" s="103"/>
      <c r="FU7" s="103"/>
      <c r="FV7" s="103"/>
      <c r="FW7" s="103"/>
      <c r="FX7" s="103"/>
      <c r="FY7" s="103"/>
      <c r="FZ7" s="103"/>
      <c r="GA7" s="103"/>
      <c r="GB7" s="103"/>
      <c r="GC7" s="103"/>
      <c r="GD7" s="103"/>
      <c r="GE7" s="103"/>
      <c r="GF7" s="103"/>
      <c r="GG7" s="103"/>
      <c r="GH7" s="103"/>
      <c r="GI7" s="103"/>
      <c r="GJ7" s="103"/>
      <c r="GK7" s="103"/>
      <c r="GL7" s="103"/>
      <c r="GM7" s="103"/>
      <c r="GN7" s="103"/>
      <c r="GO7" s="103"/>
      <c r="GP7" s="103"/>
      <c r="GQ7" s="103"/>
      <c r="GR7" s="103"/>
      <c r="GS7" s="103"/>
      <c r="GT7" s="103"/>
      <c r="GU7" s="103"/>
      <c r="GV7" s="103"/>
    </row>
    <row r="8" spans="1:204" s="83" customFormat="1" ht="41.25" customHeight="1" x14ac:dyDescent="0.25">
      <c r="A8" s="166" t="s">
        <v>15</v>
      </c>
      <c r="B8" s="89">
        <v>1</v>
      </c>
      <c r="C8" s="89">
        <v>1</v>
      </c>
      <c r="D8" s="131">
        <v>1</v>
      </c>
      <c r="E8" s="132">
        <v>1</v>
      </c>
      <c r="F8" s="67">
        <v>1</v>
      </c>
      <c r="G8" s="91">
        <v>1</v>
      </c>
      <c r="H8" s="90">
        <v>1</v>
      </c>
      <c r="I8" s="67">
        <v>1</v>
      </c>
      <c r="J8" s="91">
        <v>1</v>
      </c>
      <c r="K8" s="90">
        <v>1</v>
      </c>
      <c r="L8" s="89">
        <v>1</v>
      </c>
      <c r="M8" s="127">
        <v>1</v>
      </c>
      <c r="N8" s="67">
        <v>1</v>
      </c>
      <c r="O8" s="66">
        <v>1</v>
      </c>
      <c r="P8" s="100"/>
      <c r="Q8" s="100"/>
      <c r="R8" s="99"/>
      <c r="S8" s="87"/>
      <c r="T8" s="98"/>
      <c r="U8" s="98"/>
      <c r="V8" s="98"/>
      <c r="W8" s="98"/>
      <c r="X8" s="98"/>
      <c r="Y8" s="98"/>
      <c r="Z8" s="98"/>
      <c r="AA8" s="98"/>
      <c r="AB8" s="98"/>
      <c r="AC8" s="98"/>
      <c r="AD8" s="98"/>
      <c r="AE8" s="98"/>
      <c r="AF8" s="98"/>
      <c r="AG8" s="98"/>
      <c r="AH8" s="98"/>
      <c r="AI8" s="98"/>
      <c r="AJ8" s="98"/>
      <c r="AK8" s="98"/>
      <c r="AL8" s="98"/>
      <c r="AM8" s="98"/>
      <c r="AN8" s="98"/>
      <c r="AO8" s="98"/>
      <c r="AP8" s="98"/>
      <c r="AQ8" s="98"/>
      <c r="AR8" s="98"/>
      <c r="AS8" s="98"/>
      <c r="AT8" s="96"/>
      <c r="AU8" s="96"/>
      <c r="AV8" s="96"/>
      <c r="AW8" s="96"/>
      <c r="AX8" s="96"/>
      <c r="AY8" s="96"/>
      <c r="AZ8" s="96"/>
      <c r="BA8" s="96"/>
      <c r="BB8" s="96"/>
      <c r="BC8" s="96"/>
      <c r="BD8" s="96"/>
      <c r="BE8" s="96"/>
      <c r="BF8" s="97"/>
      <c r="BG8" s="97"/>
      <c r="BH8" s="97"/>
      <c r="BI8" s="97"/>
      <c r="BJ8" s="97"/>
      <c r="BK8" s="97"/>
      <c r="BL8" s="97"/>
      <c r="BM8" s="97"/>
      <c r="BN8" s="97"/>
      <c r="BO8" s="97"/>
      <c r="BP8" s="97"/>
      <c r="BQ8" s="97"/>
      <c r="BR8" s="97"/>
      <c r="BS8" s="97"/>
      <c r="BT8" s="97"/>
      <c r="BU8" s="97"/>
      <c r="BV8" s="97"/>
      <c r="BW8" s="97"/>
      <c r="BX8" s="97"/>
      <c r="BY8" s="97"/>
      <c r="BZ8" s="97"/>
      <c r="CA8" s="97"/>
      <c r="CB8" s="97"/>
      <c r="CC8" s="97"/>
      <c r="CD8" s="97"/>
      <c r="CE8" s="97"/>
      <c r="CF8" s="97"/>
      <c r="CG8" s="97"/>
      <c r="CH8" s="97"/>
      <c r="CI8" s="97"/>
      <c r="CJ8" s="97"/>
      <c r="CK8" s="97"/>
      <c r="CL8" s="97"/>
      <c r="CM8" s="97"/>
      <c r="CN8" s="97"/>
      <c r="CO8" s="97"/>
      <c r="CP8" s="97"/>
      <c r="CQ8" s="97"/>
      <c r="CR8" s="97"/>
      <c r="CS8" s="97"/>
      <c r="CT8" s="97"/>
      <c r="CU8" s="97"/>
      <c r="CV8" s="97"/>
      <c r="CW8" s="97"/>
      <c r="CX8" s="97"/>
      <c r="CY8" s="97"/>
      <c r="CZ8" s="97"/>
      <c r="DA8" s="97"/>
      <c r="DB8" s="97"/>
      <c r="DC8" s="97"/>
      <c r="DD8" s="97"/>
      <c r="DE8" s="97"/>
      <c r="DF8" s="97"/>
      <c r="DG8" s="97"/>
      <c r="DH8" s="97"/>
      <c r="DI8" s="97"/>
      <c r="DJ8" s="97"/>
      <c r="DK8" s="97"/>
      <c r="DL8" s="97"/>
      <c r="DM8" s="97"/>
      <c r="DN8" s="97"/>
      <c r="DO8" s="97"/>
      <c r="DP8" s="97"/>
      <c r="DQ8" s="97"/>
      <c r="DR8" s="97"/>
      <c r="DS8" s="97"/>
      <c r="DT8" s="97"/>
      <c r="DU8" s="97"/>
      <c r="DV8" s="97"/>
      <c r="DW8" s="97"/>
      <c r="DX8" s="97"/>
      <c r="DY8" s="97"/>
      <c r="DZ8" s="97"/>
      <c r="EA8" s="97"/>
      <c r="EB8" s="97"/>
      <c r="EC8" s="97"/>
      <c r="ED8" s="97"/>
      <c r="EE8" s="97"/>
      <c r="EF8" s="97"/>
      <c r="EG8" s="97"/>
      <c r="EH8" s="96"/>
      <c r="EI8" s="96"/>
      <c r="EJ8" s="96"/>
      <c r="EK8" s="96"/>
      <c r="EL8" s="96"/>
      <c r="EM8" s="96"/>
      <c r="EN8" s="96"/>
      <c r="EO8" s="96"/>
      <c r="EP8" s="96"/>
      <c r="EQ8" s="96"/>
      <c r="ER8" s="96"/>
      <c r="ES8" s="96"/>
      <c r="ET8" s="96"/>
      <c r="EU8" s="96"/>
      <c r="EV8" s="96"/>
      <c r="EW8" s="96"/>
      <c r="EX8" s="96"/>
      <c r="EY8" s="96"/>
      <c r="EZ8" s="96"/>
      <c r="FA8" s="96"/>
      <c r="FB8" s="96"/>
      <c r="FC8" s="96"/>
      <c r="FD8" s="96"/>
      <c r="FE8" s="96"/>
      <c r="FF8" s="96"/>
      <c r="FG8" s="96"/>
      <c r="FH8" s="96"/>
      <c r="FI8" s="96"/>
      <c r="FJ8" s="96"/>
      <c r="FK8" s="96"/>
      <c r="FL8" s="96"/>
      <c r="FM8" s="96"/>
      <c r="FN8" s="96"/>
      <c r="FO8" s="96"/>
      <c r="FP8" s="96"/>
      <c r="FQ8" s="96"/>
      <c r="FR8" s="96"/>
      <c r="FS8" s="96"/>
      <c r="FT8" s="96"/>
      <c r="FU8" s="96"/>
      <c r="FV8" s="96"/>
      <c r="FW8" s="96"/>
      <c r="FX8" s="96"/>
      <c r="FY8" s="96"/>
      <c r="FZ8" s="96"/>
      <c r="GA8" s="96"/>
      <c r="GB8" s="96"/>
      <c r="GC8" s="96"/>
      <c r="GD8" s="96"/>
      <c r="GE8" s="96"/>
      <c r="GF8" s="96"/>
      <c r="GG8" s="96"/>
      <c r="GH8" s="96"/>
      <c r="GI8" s="96"/>
      <c r="GJ8" s="96"/>
      <c r="GK8" s="96"/>
      <c r="GL8" s="96"/>
      <c r="GM8" s="96"/>
      <c r="GN8" s="96"/>
      <c r="GO8" s="96"/>
      <c r="GP8" s="96"/>
      <c r="GQ8" s="96"/>
      <c r="GR8" s="96"/>
      <c r="GS8" s="96"/>
      <c r="GT8" s="96"/>
      <c r="GU8" s="96"/>
      <c r="GV8" s="96"/>
    </row>
    <row r="9" spans="1:204" ht="20.25" customHeight="1" x14ac:dyDescent="0.25">
      <c r="A9" s="166"/>
      <c r="B9" s="133" t="s">
        <v>16</v>
      </c>
      <c r="C9" s="133" t="s">
        <v>17</v>
      </c>
      <c r="D9" s="133">
        <f>C8-D8</f>
        <v>0</v>
      </c>
      <c r="E9" s="133">
        <f>C8-E8</f>
        <v>0</v>
      </c>
      <c r="F9" s="134" t="s">
        <v>18</v>
      </c>
      <c r="G9" s="134">
        <f>F8-G8</f>
        <v>0</v>
      </c>
      <c r="H9" s="134">
        <f>F8-H8</f>
        <v>0</v>
      </c>
      <c r="I9" s="134" t="s">
        <v>14</v>
      </c>
      <c r="J9" s="134">
        <f>I8-J8</f>
        <v>0</v>
      </c>
      <c r="K9" s="134">
        <f>I8-K8</f>
        <v>0</v>
      </c>
      <c r="L9" s="133">
        <f>L8-M8</f>
        <v>0</v>
      </c>
      <c r="M9" s="82">
        <f>IFERROR(L8/M8, 0)</f>
        <v>1</v>
      </c>
      <c r="N9" s="157">
        <f>N8-O8</f>
        <v>0</v>
      </c>
      <c r="O9" s="158" t="str">
        <f>IF(TEXT(N8-O8,"+0,0; -0,0")="+0,0","0,0",TEXT(N8-O8,"+0,0; -0,0"))</f>
        <v>0,0</v>
      </c>
      <c r="P9" s="79"/>
      <c r="Q9" s="79"/>
      <c r="R9" s="102"/>
      <c r="S9" s="79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  <c r="AH9" s="94"/>
      <c r="AI9" s="93"/>
      <c r="AJ9" s="93"/>
      <c r="AK9" s="93"/>
      <c r="AL9" s="93"/>
      <c r="AM9" s="93"/>
      <c r="AN9" s="93"/>
      <c r="AO9" s="93"/>
      <c r="AP9" s="93"/>
      <c r="AQ9" s="93"/>
      <c r="AR9" s="93"/>
      <c r="AS9" s="93"/>
      <c r="AT9" s="93"/>
      <c r="AU9" s="93"/>
      <c r="AV9" s="93"/>
      <c r="AW9" s="93"/>
      <c r="AX9" s="93"/>
      <c r="AY9" s="93"/>
      <c r="AZ9" s="93"/>
      <c r="BA9" s="93"/>
      <c r="BB9" s="93"/>
      <c r="BC9" s="93"/>
      <c r="BD9" s="93"/>
      <c r="BE9" s="93"/>
      <c r="BF9" s="93"/>
      <c r="BG9" s="93"/>
      <c r="BH9" s="93"/>
      <c r="BI9" s="93"/>
      <c r="BJ9" s="93"/>
      <c r="BK9" s="93"/>
      <c r="BL9" s="93"/>
      <c r="BM9" s="93"/>
      <c r="BN9" s="93"/>
      <c r="BO9" s="93"/>
      <c r="BP9" s="93"/>
      <c r="BQ9" s="93"/>
      <c r="BR9" s="93"/>
      <c r="BS9" s="93"/>
      <c r="BT9" s="93"/>
      <c r="BU9" s="93"/>
      <c r="BV9" s="93"/>
      <c r="BW9" s="93"/>
      <c r="BX9" s="93"/>
      <c r="BY9" s="93"/>
      <c r="BZ9" s="93"/>
      <c r="CA9" s="93"/>
      <c r="CB9" s="93"/>
      <c r="CC9" s="93"/>
      <c r="CD9" s="93"/>
      <c r="CE9" s="93"/>
      <c r="CF9" s="93"/>
      <c r="CG9" s="93"/>
      <c r="CH9" s="93"/>
      <c r="CI9" s="93"/>
      <c r="CJ9" s="93"/>
      <c r="CK9" s="93"/>
      <c r="CL9" s="93"/>
      <c r="CM9" s="93"/>
      <c r="CN9" s="93"/>
      <c r="CO9" s="93"/>
      <c r="CP9" s="93"/>
      <c r="CQ9" s="93"/>
      <c r="CR9" s="93"/>
      <c r="CS9" s="93"/>
      <c r="CT9" s="93"/>
      <c r="CU9" s="93"/>
      <c r="CV9" s="93"/>
      <c r="CW9" s="93"/>
      <c r="CX9" s="93"/>
      <c r="CY9" s="93"/>
      <c r="CZ9" s="93"/>
      <c r="DA9" s="93"/>
      <c r="DB9" s="93"/>
      <c r="DC9" s="93"/>
      <c r="DD9" s="93"/>
      <c r="DE9" s="93"/>
      <c r="DF9" s="93"/>
      <c r="DG9" s="93"/>
      <c r="DH9" s="93"/>
      <c r="DI9" s="93"/>
      <c r="DJ9" s="93"/>
      <c r="DK9" s="93"/>
      <c r="DL9" s="93"/>
      <c r="DM9" s="93"/>
      <c r="DN9" s="93"/>
      <c r="DO9" s="93"/>
      <c r="DP9" s="93"/>
      <c r="DQ9" s="93"/>
      <c r="DR9" s="93"/>
      <c r="DS9" s="93"/>
      <c r="DT9" s="93"/>
      <c r="DU9" s="93"/>
      <c r="DV9" s="93"/>
      <c r="DW9" s="93"/>
      <c r="DX9" s="93"/>
      <c r="DY9" s="93"/>
      <c r="DZ9" s="93"/>
      <c r="EA9" s="93"/>
      <c r="EB9" s="93"/>
      <c r="EC9" s="93"/>
      <c r="ED9" s="93"/>
      <c r="EE9" s="93"/>
      <c r="EF9" s="93"/>
      <c r="EG9" s="93"/>
      <c r="EH9" s="92"/>
      <c r="EI9" s="92"/>
      <c r="EJ9" s="92"/>
      <c r="EK9" s="92"/>
      <c r="EL9" s="92"/>
      <c r="EM9" s="92"/>
      <c r="EN9" s="92"/>
      <c r="EO9" s="92"/>
      <c r="EP9" s="92"/>
      <c r="EQ9" s="92"/>
      <c r="ER9" s="92"/>
      <c r="ES9" s="92"/>
      <c r="ET9" s="92"/>
      <c r="EU9" s="92"/>
      <c r="EV9" s="92"/>
      <c r="EW9" s="92"/>
      <c r="EX9" s="92"/>
      <c r="EY9" s="92"/>
      <c r="EZ9" s="92"/>
      <c r="FA9" s="92"/>
      <c r="FB9" s="92"/>
      <c r="FC9" s="92"/>
      <c r="FD9" s="92"/>
      <c r="FE9" s="92"/>
      <c r="FF9" s="92"/>
      <c r="FG9" s="92"/>
      <c r="FH9" s="92"/>
      <c r="FI9" s="92"/>
      <c r="FJ9" s="92"/>
      <c r="FK9" s="92"/>
      <c r="FL9" s="92"/>
      <c r="FM9" s="92"/>
      <c r="FN9" s="92"/>
      <c r="FO9" s="92"/>
      <c r="FP9" s="92"/>
      <c r="FQ9" s="92"/>
      <c r="FR9" s="92"/>
      <c r="FS9" s="92"/>
      <c r="FT9" s="92"/>
      <c r="FU9" s="92"/>
      <c r="FV9" s="92"/>
      <c r="FW9" s="92"/>
      <c r="FX9" s="92"/>
      <c r="FY9" s="92"/>
      <c r="FZ9" s="92"/>
      <c r="GA9" s="92"/>
      <c r="GB9" s="92"/>
      <c r="GC9" s="92"/>
      <c r="GD9" s="92"/>
      <c r="GE9" s="92"/>
      <c r="GF9" s="92"/>
      <c r="GG9" s="92"/>
      <c r="GH9" s="92"/>
      <c r="GI9" s="92"/>
      <c r="GJ9" s="92"/>
      <c r="GK9" s="92"/>
      <c r="GL9" s="92"/>
      <c r="GM9" s="92"/>
      <c r="GN9" s="92"/>
      <c r="GO9" s="92"/>
      <c r="GP9" s="92"/>
      <c r="GQ9" s="92"/>
      <c r="GR9" s="92"/>
      <c r="GS9" s="92"/>
      <c r="GT9" s="92"/>
      <c r="GU9" s="92"/>
      <c r="GV9" s="92"/>
    </row>
    <row r="10" spans="1:204" s="83" customFormat="1" ht="41.25" customHeight="1" x14ac:dyDescent="0.25">
      <c r="A10" s="166" t="s">
        <v>19</v>
      </c>
      <c r="B10" s="89">
        <v>1</v>
      </c>
      <c r="C10" s="89">
        <v>1</v>
      </c>
      <c r="D10" s="131">
        <v>1</v>
      </c>
      <c r="E10" s="132">
        <v>1</v>
      </c>
      <c r="F10" s="67">
        <v>1</v>
      </c>
      <c r="G10" s="91">
        <v>1</v>
      </c>
      <c r="H10" s="90">
        <v>1</v>
      </c>
      <c r="I10" s="67">
        <v>1</v>
      </c>
      <c r="J10" s="91">
        <v>1</v>
      </c>
      <c r="K10" s="90">
        <v>1</v>
      </c>
      <c r="L10" s="89">
        <v>1</v>
      </c>
      <c r="M10" s="127">
        <v>1</v>
      </c>
      <c r="N10" s="67"/>
      <c r="O10" s="66"/>
      <c r="P10" s="100"/>
      <c r="Q10" s="100"/>
      <c r="R10" s="99"/>
      <c r="S10" s="87"/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98"/>
      <c r="AF10" s="98"/>
      <c r="AG10" s="98"/>
      <c r="AH10" s="98"/>
      <c r="AI10" s="98"/>
      <c r="AJ10" s="98"/>
      <c r="AK10" s="98"/>
      <c r="AL10" s="98"/>
      <c r="AM10" s="98"/>
      <c r="AN10" s="98"/>
      <c r="AO10" s="98"/>
      <c r="AP10" s="98"/>
      <c r="AQ10" s="98"/>
      <c r="AR10" s="98"/>
      <c r="AS10" s="98"/>
      <c r="AT10" s="96"/>
      <c r="AU10" s="96"/>
      <c r="AV10" s="96"/>
      <c r="AW10" s="96"/>
      <c r="AX10" s="96"/>
      <c r="AY10" s="96"/>
      <c r="AZ10" s="96"/>
      <c r="BA10" s="96"/>
      <c r="BB10" s="96"/>
      <c r="BC10" s="96"/>
      <c r="BD10" s="96"/>
      <c r="BE10" s="96"/>
      <c r="BF10" s="97"/>
      <c r="BG10" s="97"/>
      <c r="BH10" s="97"/>
      <c r="BI10" s="97"/>
      <c r="BJ10" s="97"/>
      <c r="BK10" s="97"/>
      <c r="BL10" s="97"/>
      <c r="BM10" s="97"/>
      <c r="BN10" s="97"/>
      <c r="BO10" s="97"/>
      <c r="BP10" s="97"/>
      <c r="BQ10" s="97"/>
      <c r="BR10" s="97"/>
      <c r="BS10" s="97"/>
      <c r="BT10" s="97"/>
      <c r="BU10" s="97"/>
      <c r="BV10" s="97"/>
      <c r="BW10" s="97"/>
      <c r="BX10" s="97"/>
      <c r="BY10" s="97"/>
      <c r="BZ10" s="97"/>
      <c r="CA10" s="97"/>
      <c r="CB10" s="97"/>
      <c r="CC10" s="97"/>
      <c r="CD10" s="97"/>
      <c r="CE10" s="97"/>
      <c r="CF10" s="97"/>
      <c r="CG10" s="97"/>
      <c r="CH10" s="97"/>
      <c r="CI10" s="97"/>
      <c r="CJ10" s="97"/>
      <c r="CK10" s="97"/>
      <c r="CL10" s="97"/>
      <c r="CM10" s="97"/>
      <c r="CN10" s="97"/>
      <c r="CO10" s="97"/>
      <c r="CP10" s="97"/>
      <c r="CQ10" s="97"/>
      <c r="CR10" s="97"/>
      <c r="CS10" s="97"/>
      <c r="CT10" s="97"/>
      <c r="CU10" s="97"/>
      <c r="CV10" s="97"/>
      <c r="CW10" s="97"/>
      <c r="CX10" s="97"/>
      <c r="CY10" s="97"/>
      <c r="CZ10" s="97"/>
      <c r="DA10" s="97"/>
      <c r="DB10" s="97"/>
      <c r="DC10" s="97"/>
      <c r="DD10" s="97"/>
      <c r="DE10" s="97"/>
      <c r="DF10" s="97"/>
      <c r="DG10" s="97"/>
      <c r="DH10" s="97"/>
      <c r="DI10" s="97"/>
      <c r="DJ10" s="97"/>
      <c r="DK10" s="97"/>
      <c r="DL10" s="97"/>
      <c r="DM10" s="97"/>
      <c r="DN10" s="97"/>
      <c r="DO10" s="97"/>
      <c r="DP10" s="97"/>
      <c r="DQ10" s="97"/>
      <c r="DR10" s="97"/>
      <c r="DS10" s="97"/>
      <c r="DT10" s="97"/>
      <c r="DU10" s="97"/>
      <c r="DV10" s="97"/>
      <c r="DW10" s="97"/>
      <c r="DX10" s="97"/>
      <c r="DY10" s="97"/>
      <c r="DZ10" s="97"/>
      <c r="EA10" s="97"/>
      <c r="EB10" s="97"/>
      <c r="EC10" s="97"/>
      <c r="ED10" s="97"/>
      <c r="EE10" s="97"/>
      <c r="EF10" s="97"/>
      <c r="EG10" s="97"/>
      <c r="EH10" s="96"/>
      <c r="EI10" s="96"/>
      <c r="EJ10" s="96"/>
      <c r="EK10" s="96"/>
      <c r="EL10" s="96"/>
      <c r="EM10" s="96"/>
      <c r="EN10" s="96"/>
      <c r="EO10" s="96"/>
      <c r="EP10" s="96"/>
      <c r="EQ10" s="96"/>
      <c r="ER10" s="96"/>
      <c r="ES10" s="96"/>
      <c r="ET10" s="96"/>
      <c r="EU10" s="96"/>
      <c r="EV10" s="96"/>
      <c r="EW10" s="96"/>
      <c r="EX10" s="96"/>
      <c r="EY10" s="96"/>
      <c r="EZ10" s="96"/>
      <c r="FA10" s="96"/>
      <c r="FB10" s="96"/>
      <c r="FC10" s="96"/>
      <c r="FD10" s="96"/>
      <c r="FE10" s="96"/>
      <c r="FF10" s="96"/>
      <c r="FG10" s="96"/>
      <c r="FH10" s="96"/>
      <c r="FI10" s="96"/>
      <c r="FJ10" s="96"/>
      <c r="FK10" s="96"/>
      <c r="FL10" s="96"/>
      <c r="FM10" s="96"/>
      <c r="FN10" s="96"/>
      <c r="FO10" s="96"/>
      <c r="FP10" s="96"/>
      <c r="FQ10" s="96"/>
      <c r="FR10" s="96"/>
      <c r="FS10" s="96"/>
      <c r="FT10" s="96"/>
      <c r="FU10" s="96"/>
      <c r="FV10" s="96"/>
      <c r="FW10" s="96"/>
      <c r="FX10" s="96"/>
      <c r="FY10" s="96"/>
      <c r="FZ10" s="96"/>
      <c r="GA10" s="96"/>
      <c r="GB10" s="96"/>
      <c r="GC10" s="96"/>
      <c r="GD10" s="96"/>
      <c r="GE10" s="96"/>
      <c r="GF10" s="96"/>
      <c r="GG10" s="96"/>
      <c r="GH10" s="96"/>
      <c r="GI10" s="96"/>
      <c r="GJ10" s="96"/>
      <c r="GK10" s="96"/>
      <c r="GL10" s="96"/>
      <c r="GM10" s="96"/>
      <c r="GN10" s="96"/>
      <c r="GO10" s="96"/>
      <c r="GP10" s="96"/>
      <c r="GQ10" s="96"/>
      <c r="GR10" s="96"/>
      <c r="GS10" s="96"/>
      <c r="GT10" s="96"/>
      <c r="GU10" s="96"/>
      <c r="GV10" s="96"/>
    </row>
    <row r="11" spans="1:204" ht="20.25" customHeight="1" x14ac:dyDescent="0.25">
      <c r="A11" s="166"/>
      <c r="B11" s="133" t="s">
        <v>20</v>
      </c>
      <c r="C11" s="133" t="s">
        <v>21</v>
      </c>
      <c r="D11" s="133">
        <f>C10-D10</f>
        <v>0</v>
      </c>
      <c r="E11" s="133">
        <f>C10-E10</f>
        <v>0</v>
      </c>
      <c r="F11" s="134" t="s">
        <v>14</v>
      </c>
      <c r="G11" s="134">
        <f>F10-G10</f>
        <v>0</v>
      </c>
      <c r="H11" s="134">
        <f>F10-H10</f>
        <v>0</v>
      </c>
      <c r="I11" s="134" t="s">
        <v>14</v>
      </c>
      <c r="J11" s="134">
        <f>I10-J10</f>
        <v>0</v>
      </c>
      <c r="K11" s="134">
        <f>I10-K10</f>
        <v>0</v>
      </c>
      <c r="L11" s="133">
        <f>L10-M10</f>
        <v>0</v>
      </c>
      <c r="M11" s="82">
        <f>IFERROR(L10/M10, 0)</f>
        <v>1</v>
      </c>
      <c r="N11" s="168"/>
      <c r="O11" s="169"/>
      <c r="P11" s="79"/>
      <c r="Q11" s="79"/>
      <c r="R11" s="99"/>
      <c r="S11" s="79"/>
      <c r="T11" s="94"/>
      <c r="U11" s="94"/>
      <c r="V11" s="94"/>
      <c r="W11" s="94"/>
      <c r="X11" s="94"/>
      <c r="Y11" s="94"/>
      <c r="Z11" s="94"/>
      <c r="AA11" s="94"/>
      <c r="AB11" s="94"/>
      <c r="AC11" s="94"/>
      <c r="AD11" s="94"/>
      <c r="AE11" s="94"/>
      <c r="AF11" s="94"/>
      <c r="AG11" s="94"/>
      <c r="AH11" s="94"/>
      <c r="AI11" s="93"/>
      <c r="AJ11" s="93"/>
      <c r="AK11" s="93"/>
      <c r="AL11" s="93"/>
      <c r="AM11" s="93"/>
      <c r="AN11" s="93"/>
      <c r="AO11" s="93"/>
      <c r="AP11" s="93"/>
      <c r="AQ11" s="93"/>
      <c r="AR11" s="93"/>
      <c r="AS11" s="93"/>
      <c r="AT11" s="93"/>
      <c r="AU11" s="93"/>
      <c r="AV11" s="93"/>
      <c r="AW11" s="93"/>
      <c r="AX11" s="93"/>
      <c r="AY11" s="93"/>
      <c r="AZ11" s="93"/>
      <c r="BA11" s="93"/>
      <c r="BB11" s="93"/>
      <c r="BC11" s="93"/>
      <c r="BD11" s="93"/>
      <c r="BE11" s="93"/>
      <c r="BF11" s="93"/>
      <c r="BG11" s="93"/>
      <c r="BH11" s="93"/>
      <c r="BI11" s="93"/>
      <c r="BJ11" s="93"/>
      <c r="BK11" s="93"/>
      <c r="BL11" s="93"/>
      <c r="BM11" s="93"/>
      <c r="BN11" s="93"/>
      <c r="BO11" s="93"/>
      <c r="BP11" s="93"/>
      <c r="BQ11" s="93"/>
      <c r="BR11" s="93"/>
      <c r="BS11" s="93"/>
      <c r="BT11" s="93"/>
      <c r="BU11" s="93"/>
      <c r="BV11" s="93"/>
      <c r="BW11" s="93"/>
      <c r="BX11" s="93"/>
      <c r="BY11" s="93"/>
      <c r="BZ11" s="93"/>
      <c r="CA11" s="93"/>
      <c r="CB11" s="93"/>
      <c r="CC11" s="93"/>
      <c r="CD11" s="93"/>
      <c r="CE11" s="93"/>
      <c r="CF11" s="93"/>
      <c r="CG11" s="93"/>
      <c r="CH11" s="93"/>
      <c r="CI11" s="93"/>
      <c r="CJ11" s="93"/>
      <c r="CK11" s="93"/>
      <c r="CL11" s="93"/>
      <c r="CM11" s="93"/>
      <c r="CN11" s="93"/>
      <c r="CO11" s="93"/>
      <c r="CP11" s="93"/>
      <c r="CQ11" s="93"/>
      <c r="CR11" s="93"/>
      <c r="CS11" s="93"/>
      <c r="CT11" s="93"/>
      <c r="CU11" s="93"/>
      <c r="CV11" s="93"/>
      <c r="CW11" s="93"/>
      <c r="CX11" s="93"/>
      <c r="CY11" s="93"/>
      <c r="CZ11" s="93"/>
      <c r="DA11" s="93"/>
      <c r="DB11" s="93"/>
      <c r="DC11" s="93"/>
      <c r="DD11" s="93"/>
      <c r="DE11" s="93"/>
      <c r="DF11" s="93"/>
      <c r="DG11" s="93"/>
      <c r="DH11" s="93"/>
      <c r="DI11" s="93"/>
      <c r="DJ11" s="93"/>
      <c r="DK11" s="93"/>
      <c r="DL11" s="93"/>
      <c r="DM11" s="93"/>
      <c r="DN11" s="93"/>
      <c r="DO11" s="93"/>
      <c r="DP11" s="93"/>
      <c r="DQ11" s="93"/>
      <c r="DR11" s="93"/>
      <c r="DS11" s="93"/>
      <c r="DT11" s="93"/>
      <c r="DU11" s="93"/>
      <c r="DV11" s="93"/>
      <c r="DW11" s="93"/>
      <c r="DX11" s="93"/>
      <c r="DY11" s="93"/>
      <c r="DZ11" s="93"/>
      <c r="EA11" s="93"/>
      <c r="EB11" s="93"/>
      <c r="EC11" s="93"/>
      <c r="ED11" s="93"/>
      <c r="EE11" s="93"/>
      <c r="EF11" s="93"/>
      <c r="EG11" s="93"/>
      <c r="EH11" s="92"/>
      <c r="EI11" s="92"/>
      <c r="EJ11" s="92"/>
      <c r="EK11" s="92"/>
      <c r="EL11" s="92"/>
      <c r="EM11" s="92"/>
      <c r="EN11" s="92"/>
      <c r="EO11" s="92"/>
      <c r="EP11" s="92"/>
      <c r="EQ11" s="92"/>
      <c r="ER11" s="92"/>
      <c r="ES11" s="92"/>
      <c r="ET11" s="92"/>
      <c r="EU11" s="92"/>
      <c r="EV11" s="92"/>
      <c r="EW11" s="92"/>
      <c r="EX11" s="92"/>
      <c r="EY11" s="92"/>
      <c r="EZ11" s="92"/>
      <c r="FA11" s="92"/>
      <c r="FB11" s="92"/>
      <c r="FC11" s="92"/>
      <c r="FD11" s="92"/>
      <c r="FE11" s="92"/>
      <c r="FF11" s="92"/>
      <c r="FG11" s="92"/>
      <c r="FH11" s="92"/>
      <c r="FI11" s="92"/>
      <c r="FJ11" s="92"/>
      <c r="FK11" s="92"/>
      <c r="FL11" s="92"/>
      <c r="FM11" s="92"/>
      <c r="FN11" s="92"/>
      <c r="FO11" s="92"/>
      <c r="FP11" s="92"/>
      <c r="FQ11" s="92"/>
      <c r="FR11" s="92"/>
      <c r="FS11" s="92"/>
      <c r="FT11" s="92"/>
      <c r="FU11" s="92"/>
      <c r="FV11" s="92"/>
      <c r="FW11" s="92"/>
      <c r="FX11" s="92"/>
      <c r="FY11" s="92"/>
      <c r="FZ11" s="92"/>
      <c r="GA11" s="92"/>
      <c r="GB11" s="92"/>
      <c r="GC11" s="92"/>
      <c r="GD11" s="92"/>
      <c r="GE11" s="92"/>
      <c r="GF11" s="92"/>
      <c r="GG11" s="92"/>
      <c r="GH11" s="92"/>
      <c r="GI11" s="92"/>
      <c r="GJ11" s="92"/>
      <c r="GK11" s="92"/>
      <c r="GL11" s="92"/>
      <c r="GM11" s="92"/>
      <c r="GN11" s="92"/>
      <c r="GO11" s="92"/>
      <c r="GP11" s="92"/>
      <c r="GQ11" s="92"/>
      <c r="GR11" s="92"/>
      <c r="GS11" s="92"/>
      <c r="GT11" s="92"/>
      <c r="GU11" s="92"/>
      <c r="GV11" s="92"/>
    </row>
    <row r="12" spans="1:204" s="83" customFormat="1" ht="41.25" customHeight="1" x14ac:dyDescent="0.25">
      <c r="A12" s="166" t="s">
        <v>22</v>
      </c>
      <c r="B12" s="89">
        <v>1</v>
      </c>
      <c r="C12" s="89">
        <v>1</v>
      </c>
      <c r="D12" s="131">
        <v>1</v>
      </c>
      <c r="E12" s="132">
        <v>1</v>
      </c>
      <c r="F12" s="67">
        <v>1</v>
      </c>
      <c r="G12" s="91">
        <v>1</v>
      </c>
      <c r="H12" s="90">
        <v>1</v>
      </c>
      <c r="I12" s="67">
        <v>1</v>
      </c>
      <c r="J12" s="91">
        <v>1</v>
      </c>
      <c r="K12" s="90">
        <v>1</v>
      </c>
      <c r="L12" s="89">
        <v>1</v>
      </c>
      <c r="M12" s="128">
        <v>1</v>
      </c>
      <c r="N12" s="67">
        <v>1</v>
      </c>
      <c r="O12" s="66">
        <v>1</v>
      </c>
      <c r="P12" s="100"/>
      <c r="Q12" s="100"/>
      <c r="R12" s="99"/>
      <c r="S12" s="87"/>
      <c r="T12" s="98"/>
      <c r="U12" s="98"/>
      <c r="V12" s="98"/>
      <c r="W12" s="98"/>
      <c r="X12" s="98"/>
      <c r="Y12" s="98"/>
      <c r="Z12" s="98"/>
      <c r="AA12" s="98"/>
      <c r="AB12" s="98"/>
      <c r="AC12" s="98"/>
      <c r="AD12" s="98"/>
      <c r="AE12" s="98"/>
      <c r="AF12" s="98"/>
      <c r="AG12" s="98"/>
      <c r="AH12" s="98"/>
      <c r="AI12" s="98"/>
      <c r="AJ12" s="98"/>
      <c r="AK12" s="98"/>
      <c r="AL12" s="98"/>
      <c r="AM12" s="98"/>
      <c r="AN12" s="98"/>
      <c r="AO12" s="98"/>
      <c r="AP12" s="98"/>
      <c r="AQ12" s="98"/>
      <c r="AR12" s="98"/>
      <c r="AS12" s="98"/>
      <c r="AT12" s="96"/>
      <c r="AU12" s="96"/>
      <c r="AV12" s="96"/>
      <c r="AW12" s="96"/>
      <c r="AX12" s="96"/>
      <c r="AY12" s="96"/>
      <c r="AZ12" s="96"/>
      <c r="BA12" s="96"/>
      <c r="BB12" s="96"/>
      <c r="BC12" s="96"/>
      <c r="BD12" s="96"/>
      <c r="BE12" s="96"/>
      <c r="BF12" s="97"/>
      <c r="BG12" s="97"/>
      <c r="BH12" s="97"/>
      <c r="BI12" s="97"/>
      <c r="BJ12" s="97"/>
      <c r="BK12" s="97"/>
      <c r="BL12" s="97"/>
      <c r="BM12" s="97"/>
      <c r="BN12" s="97"/>
      <c r="BO12" s="97"/>
      <c r="BP12" s="97"/>
      <c r="BQ12" s="97"/>
      <c r="BR12" s="97"/>
      <c r="BS12" s="97"/>
      <c r="BT12" s="97"/>
      <c r="BU12" s="97"/>
      <c r="BV12" s="97"/>
      <c r="BW12" s="97"/>
      <c r="BX12" s="97"/>
      <c r="BY12" s="97"/>
      <c r="BZ12" s="97"/>
      <c r="CA12" s="97"/>
      <c r="CB12" s="97"/>
      <c r="CC12" s="97"/>
      <c r="CD12" s="97"/>
      <c r="CE12" s="97"/>
      <c r="CF12" s="97"/>
      <c r="CG12" s="97"/>
      <c r="CH12" s="97"/>
      <c r="CI12" s="97"/>
      <c r="CJ12" s="97"/>
      <c r="CK12" s="97"/>
      <c r="CL12" s="97"/>
      <c r="CM12" s="97"/>
      <c r="CN12" s="97"/>
      <c r="CO12" s="97"/>
      <c r="CP12" s="97"/>
      <c r="CQ12" s="97"/>
      <c r="CR12" s="97"/>
      <c r="CS12" s="97"/>
      <c r="CT12" s="97"/>
      <c r="CU12" s="97"/>
      <c r="CV12" s="97"/>
      <c r="CW12" s="97"/>
      <c r="CX12" s="97"/>
      <c r="CY12" s="97"/>
      <c r="CZ12" s="97"/>
      <c r="DA12" s="97"/>
      <c r="DB12" s="97"/>
      <c r="DC12" s="97"/>
      <c r="DD12" s="97"/>
      <c r="DE12" s="97"/>
      <c r="DF12" s="97"/>
      <c r="DG12" s="97"/>
      <c r="DH12" s="97"/>
      <c r="DI12" s="97"/>
      <c r="DJ12" s="97"/>
      <c r="DK12" s="97"/>
      <c r="DL12" s="97"/>
      <c r="DM12" s="97"/>
      <c r="DN12" s="97"/>
      <c r="DO12" s="97"/>
      <c r="DP12" s="97"/>
      <c r="DQ12" s="97"/>
      <c r="DR12" s="97"/>
      <c r="DS12" s="97"/>
      <c r="DT12" s="97"/>
      <c r="DU12" s="97"/>
      <c r="DV12" s="97"/>
      <c r="DW12" s="97"/>
      <c r="DX12" s="97"/>
      <c r="DY12" s="97"/>
      <c r="DZ12" s="97"/>
      <c r="EA12" s="97"/>
      <c r="EB12" s="97"/>
      <c r="EC12" s="97"/>
      <c r="ED12" s="97"/>
      <c r="EE12" s="97"/>
      <c r="EF12" s="97"/>
      <c r="EG12" s="97"/>
      <c r="EH12" s="96"/>
      <c r="EI12" s="96"/>
      <c r="EJ12" s="96"/>
      <c r="EK12" s="96"/>
      <c r="EL12" s="96"/>
      <c r="EM12" s="96"/>
      <c r="EN12" s="96"/>
      <c r="EO12" s="96"/>
      <c r="EP12" s="96"/>
      <c r="EQ12" s="96"/>
      <c r="ER12" s="96"/>
      <c r="ES12" s="96"/>
      <c r="ET12" s="96"/>
      <c r="EU12" s="96"/>
      <c r="EV12" s="96"/>
      <c r="EW12" s="96"/>
      <c r="EX12" s="96"/>
      <c r="EY12" s="96"/>
      <c r="EZ12" s="96"/>
      <c r="FA12" s="96"/>
      <c r="FB12" s="96"/>
      <c r="FC12" s="96"/>
      <c r="FD12" s="96"/>
      <c r="FE12" s="96"/>
      <c r="FF12" s="96"/>
      <c r="FG12" s="96"/>
      <c r="FH12" s="96"/>
      <c r="FI12" s="96"/>
      <c r="FJ12" s="96"/>
      <c r="FK12" s="96"/>
      <c r="FL12" s="96"/>
      <c r="FM12" s="96"/>
      <c r="FN12" s="96"/>
      <c r="FO12" s="96"/>
      <c r="FP12" s="96"/>
      <c r="FQ12" s="96"/>
      <c r="FR12" s="96"/>
      <c r="FS12" s="96"/>
      <c r="FT12" s="96"/>
      <c r="FU12" s="96"/>
      <c r="FV12" s="96"/>
      <c r="FW12" s="96"/>
      <c r="FX12" s="96"/>
      <c r="FY12" s="96"/>
      <c r="FZ12" s="96"/>
      <c r="GA12" s="96"/>
      <c r="GB12" s="96"/>
      <c r="GC12" s="96"/>
      <c r="GD12" s="96"/>
      <c r="GE12" s="96"/>
      <c r="GF12" s="96"/>
      <c r="GG12" s="96"/>
      <c r="GH12" s="96"/>
      <c r="GI12" s="96"/>
      <c r="GJ12" s="96"/>
      <c r="GK12" s="96"/>
      <c r="GL12" s="96"/>
      <c r="GM12" s="96"/>
      <c r="GN12" s="96"/>
      <c r="GO12" s="96"/>
      <c r="GP12" s="96"/>
      <c r="GQ12" s="96"/>
      <c r="GR12" s="96"/>
      <c r="GS12" s="96"/>
      <c r="GT12" s="96"/>
      <c r="GU12" s="96"/>
      <c r="GV12" s="96"/>
    </row>
    <row r="13" spans="1:204" ht="20.25" customHeight="1" x14ac:dyDescent="0.25">
      <c r="A13" s="166"/>
      <c r="B13" s="133" t="s">
        <v>23</v>
      </c>
      <c r="C13" s="133" t="s">
        <v>23</v>
      </c>
      <c r="D13" s="133">
        <f>C12-D12</f>
        <v>0</v>
      </c>
      <c r="E13" s="133">
        <f>C12-E12</f>
        <v>0</v>
      </c>
      <c r="F13" s="134" t="s">
        <v>14</v>
      </c>
      <c r="G13" s="134">
        <f>F12-G12</f>
        <v>0</v>
      </c>
      <c r="H13" s="134">
        <f>F12-H12</f>
        <v>0</v>
      </c>
      <c r="I13" s="134" t="s">
        <v>14</v>
      </c>
      <c r="J13" s="134">
        <f>I12-J12</f>
        <v>0</v>
      </c>
      <c r="K13" s="134">
        <f>I12-K12</f>
        <v>0</v>
      </c>
      <c r="L13" s="133">
        <f>L12-M12</f>
        <v>0</v>
      </c>
      <c r="M13" s="82">
        <f>IFERROR(L12/M12, 0)</f>
        <v>1</v>
      </c>
      <c r="N13" s="157">
        <f>N12-O12</f>
        <v>0</v>
      </c>
      <c r="O13" s="158" t="str">
        <f>IF(TEXT(N12-O12,"+0,0; -0,0")="+0,0","0,0",TEXT(N12-O12,"+0,0; -0,0"))</f>
        <v>0,0</v>
      </c>
      <c r="P13" s="79"/>
      <c r="Q13" s="79"/>
      <c r="R13" s="99"/>
      <c r="S13" s="79"/>
      <c r="T13" s="94"/>
      <c r="U13" s="94"/>
      <c r="V13" s="94"/>
      <c r="W13" s="94"/>
      <c r="X13" s="94"/>
      <c r="Y13" s="94"/>
      <c r="Z13" s="94"/>
      <c r="AA13" s="94"/>
      <c r="AB13" s="94"/>
      <c r="AC13" s="94"/>
      <c r="AD13" s="94"/>
      <c r="AE13" s="94"/>
      <c r="AF13" s="94"/>
      <c r="AG13" s="94"/>
      <c r="AH13" s="94"/>
      <c r="AI13" s="93"/>
      <c r="AJ13" s="93"/>
      <c r="AK13" s="93"/>
      <c r="AL13" s="93"/>
      <c r="AM13" s="93"/>
      <c r="AN13" s="93"/>
      <c r="AO13" s="93"/>
      <c r="AP13" s="93"/>
      <c r="AQ13" s="93"/>
      <c r="AR13" s="93"/>
      <c r="AS13" s="93"/>
      <c r="AT13" s="93"/>
      <c r="AU13" s="93"/>
      <c r="AV13" s="93"/>
      <c r="AW13" s="93"/>
      <c r="AX13" s="93"/>
      <c r="AY13" s="93"/>
      <c r="AZ13" s="93"/>
      <c r="BA13" s="93"/>
      <c r="BB13" s="93"/>
      <c r="BC13" s="93"/>
      <c r="BD13" s="93"/>
      <c r="BE13" s="93"/>
      <c r="BF13" s="93"/>
      <c r="BG13" s="93"/>
      <c r="BH13" s="93"/>
      <c r="BI13" s="93"/>
      <c r="BJ13" s="93"/>
      <c r="BK13" s="93"/>
      <c r="BL13" s="93"/>
      <c r="BM13" s="93"/>
      <c r="BN13" s="93"/>
      <c r="BO13" s="93"/>
      <c r="BP13" s="93"/>
      <c r="BQ13" s="93"/>
      <c r="BR13" s="93"/>
      <c r="BS13" s="93"/>
      <c r="BT13" s="93"/>
      <c r="BU13" s="93"/>
      <c r="BV13" s="93"/>
      <c r="BW13" s="93"/>
      <c r="BX13" s="93"/>
      <c r="BY13" s="93"/>
      <c r="BZ13" s="93"/>
      <c r="CA13" s="93"/>
      <c r="CB13" s="93"/>
      <c r="CC13" s="93"/>
      <c r="CD13" s="93"/>
      <c r="CE13" s="93"/>
      <c r="CF13" s="93"/>
      <c r="CG13" s="93"/>
      <c r="CH13" s="93"/>
      <c r="CI13" s="93"/>
      <c r="CJ13" s="93"/>
      <c r="CK13" s="93"/>
      <c r="CL13" s="93"/>
      <c r="CM13" s="93"/>
      <c r="CN13" s="93"/>
      <c r="CO13" s="93"/>
      <c r="CP13" s="93"/>
      <c r="CQ13" s="93"/>
      <c r="CR13" s="93"/>
      <c r="CS13" s="93"/>
      <c r="CT13" s="93"/>
      <c r="CU13" s="93"/>
      <c r="CV13" s="93"/>
      <c r="CW13" s="93"/>
      <c r="CX13" s="93"/>
      <c r="CY13" s="93"/>
      <c r="CZ13" s="93"/>
      <c r="DA13" s="93"/>
      <c r="DB13" s="93"/>
      <c r="DC13" s="93"/>
      <c r="DD13" s="93"/>
      <c r="DE13" s="93"/>
      <c r="DF13" s="93"/>
      <c r="DG13" s="93"/>
      <c r="DH13" s="93"/>
      <c r="DI13" s="93"/>
      <c r="DJ13" s="93"/>
      <c r="DK13" s="93"/>
      <c r="DL13" s="93"/>
      <c r="DM13" s="93"/>
      <c r="DN13" s="93"/>
      <c r="DO13" s="93"/>
      <c r="DP13" s="93"/>
      <c r="DQ13" s="93"/>
      <c r="DR13" s="93"/>
      <c r="DS13" s="93"/>
      <c r="DT13" s="93"/>
      <c r="DU13" s="93"/>
      <c r="DV13" s="93"/>
      <c r="DW13" s="93"/>
      <c r="DX13" s="93"/>
      <c r="DY13" s="93"/>
      <c r="DZ13" s="93"/>
      <c r="EA13" s="93"/>
      <c r="EB13" s="93"/>
      <c r="EC13" s="93"/>
      <c r="ED13" s="93"/>
      <c r="EE13" s="93"/>
      <c r="EF13" s="93"/>
      <c r="EG13" s="93"/>
      <c r="EH13" s="92"/>
      <c r="EI13" s="92"/>
      <c r="EJ13" s="92"/>
      <c r="EK13" s="92"/>
      <c r="EL13" s="92"/>
      <c r="EM13" s="92"/>
      <c r="EN13" s="92"/>
      <c r="EO13" s="92"/>
      <c r="EP13" s="92"/>
      <c r="EQ13" s="92"/>
      <c r="ER13" s="92"/>
      <c r="ES13" s="92"/>
      <c r="ET13" s="92"/>
      <c r="EU13" s="92"/>
      <c r="EV13" s="92"/>
      <c r="EW13" s="92"/>
      <c r="EX13" s="92"/>
      <c r="EY13" s="92"/>
      <c r="EZ13" s="92"/>
      <c r="FA13" s="92"/>
      <c r="FB13" s="92"/>
      <c r="FC13" s="92"/>
      <c r="FD13" s="92"/>
      <c r="FE13" s="92"/>
      <c r="FF13" s="92"/>
      <c r="FG13" s="92"/>
      <c r="FH13" s="92"/>
      <c r="FI13" s="92"/>
      <c r="FJ13" s="92"/>
      <c r="FK13" s="92"/>
      <c r="FL13" s="92"/>
      <c r="FM13" s="92"/>
      <c r="FN13" s="92"/>
      <c r="FO13" s="92"/>
      <c r="FP13" s="92"/>
      <c r="FQ13" s="92"/>
      <c r="FR13" s="92"/>
      <c r="FS13" s="92"/>
      <c r="FT13" s="92"/>
      <c r="FU13" s="92"/>
      <c r="FV13" s="92"/>
      <c r="FW13" s="92"/>
      <c r="FX13" s="92"/>
      <c r="FY13" s="92"/>
      <c r="FZ13" s="92"/>
      <c r="GA13" s="92"/>
      <c r="GB13" s="92"/>
      <c r="GC13" s="92"/>
      <c r="GD13" s="92"/>
      <c r="GE13" s="92"/>
      <c r="GF13" s="92"/>
      <c r="GG13" s="92"/>
      <c r="GH13" s="92"/>
      <c r="GI13" s="92"/>
      <c r="GJ13" s="92"/>
      <c r="GK13" s="92"/>
      <c r="GL13" s="92"/>
      <c r="GM13" s="92"/>
      <c r="GN13" s="92"/>
      <c r="GO13" s="92"/>
      <c r="GP13" s="92"/>
      <c r="GQ13" s="92"/>
      <c r="GR13" s="92"/>
      <c r="GS13" s="92"/>
      <c r="GT13" s="92"/>
      <c r="GU13" s="92"/>
      <c r="GV13" s="92"/>
    </row>
    <row r="14" spans="1:204" s="83" customFormat="1" ht="41.25" customHeight="1" x14ac:dyDescent="0.25">
      <c r="A14" s="166" t="s">
        <v>24</v>
      </c>
      <c r="B14" s="89">
        <v>1</v>
      </c>
      <c r="C14" s="89">
        <v>1</v>
      </c>
      <c r="D14" s="131">
        <v>1</v>
      </c>
      <c r="E14" s="132">
        <v>1</v>
      </c>
      <c r="F14" s="67">
        <v>1</v>
      </c>
      <c r="G14" s="91">
        <v>1</v>
      </c>
      <c r="H14" s="90">
        <v>1</v>
      </c>
      <c r="I14" s="67">
        <v>1</v>
      </c>
      <c r="J14" s="91">
        <v>1</v>
      </c>
      <c r="K14" s="90">
        <v>1</v>
      </c>
      <c r="L14" s="89">
        <v>1</v>
      </c>
      <c r="M14" s="128">
        <v>1</v>
      </c>
      <c r="N14" s="67">
        <v>1</v>
      </c>
      <c r="O14" s="66">
        <v>1</v>
      </c>
      <c r="P14" s="100"/>
      <c r="Q14" s="100"/>
      <c r="R14" s="99"/>
      <c r="S14" s="87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6"/>
      <c r="AF14" s="98"/>
      <c r="AG14" s="98"/>
      <c r="AH14" s="98"/>
      <c r="AI14" s="98"/>
      <c r="AJ14" s="98"/>
      <c r="AK14" s="98"/>
      <c r="AL14" s="98"/>
      <c r="AM14" s="98"/>
      <c r="AN14" s="98"/>
      <c r="AO14" s="98"/>
      <c r="AP14" s="98"/>
      <c r="AQ14" s="98"/>
      <c r="AR14" s="98"/>
      <c r="AS14" s="98"/>
      <c r="AT14" s="96"/>
      <c r="AU14" s="96"/>
      <c r="AV14" s="96"/>
      <c r="AW14" s="96"/>
      <c r="AX14" s="96"/>
      <c r="AY14" s="96"/>
      <c r="AZ14" s="96"/>
      <c r="BA14" s="96"/>
      <c r="BB14" s="96"/>
      <c r="BC14" s="96"/>
      <c r="BD14" s="96"/>
      <c r="BE14" s="96"/>
      <c r="BF14" s="97"/>
      <c r="BG14" s="97"/>
      <c r="BH14" s="97"/>
      <c r="BI14" s="97"/>
      <c r="BJ14" s="97"/>
      <c r="BK14" s="97"/>
      <c r="BL14" s="97"/>
      <c r="BM14" s="97"/>
      <c r="BN14" s="97"/>
      <c r="BO14" s="97"/>
      <c r="BP14" s="97"/>
      <c r="BQ14" s="97"/>
      <c r="BR14" s="97"/>
      <c r="BS14" s="97"/>
      <c r="BT14" s="97"/>
      <c r="BU14" s="97"/>
      <c r="BV14" s="97"/>
      <c r="BW14" s="97"/>
      <c r="BX14" s="97"/>
      <c r="BY14" s="97"/>
      <c r="BZ14" s="97"/>
      <c r="CA14" s="97"/>
      <c r="CB14" s="97"/>
      <c r="CC14" s="97"/>
      <c r="CD14" s="97"/>
      <c r="CE14" s="97"/>
      <c r="CF14" s="97"/>
      <c r="CG14" s="97"/>
      <c r="CH14" s="97"/>
      <c r="CI14" s="97"/>
      <c r="CJ14" s="97"/>
      <c r="CK14" s="97"/>
      <c r="CL14" s="97"/>
      <c r="CM14" s="97"/>
      <c r="CN14" s="97"/>
      <c r="CO14" s="97"/>
      <c r="CP14" s="97"/>
      <c r="CQ14" s="97"/>
      <c r="CR14" s="97"/>
      <c r="CS14" s="97"/>
      <c r="CT14" s="97"/>
      <c r="CU14" s="97"/>
      <c r="CV14" s="97"/>
      <c r="CW14" s="97"/>
      <c r="CX14" s="97"/>
      <c r="CY14" s="97"/>
      <c r="CZ14" s="97"/>
      <c r="DA14" s="97"/>
      <c r="DB14" s="97"/>
      <c r="DC14" s="97"/>
      <c r="DD14" s="97"/>
      <c r="DE14" s="97"/>
      <c r="DF14" s="97"/>
      <c r="DG14" s="97"/>
      <c r="DH14" s="97"/>
      <c r="DI14" s="97"/>
      <c r="DJ14" s="97"/>
      <c r="DK14" s="97"/>
      <c r="DL14" s="97"/>
      <c r="DM14" s="97"/>
      <c r="DN14" s="97"/>
      <c r="DO14" s="97"/>
      <c r="DP14" s="97"/>
      <c r="DQ14" s="97"/>
      <c r="DR14" s="97"/>
      <c r="DS14" s="97"/>
      <c r="DT14" s="97"/>
      <c r="DU14" s="97"/>
      <c r="DV14" s="97"/>
      <c r="DW14" s="97"/>
      <c r="DX14" s="97"/>
      <c r="DY14" s="97"/>
      <c r="DZ14" s="97"/>
      <c r="EA14" s="97"/>
      <c r="EB14" s="97"/>
      <c r="EC14" s="97"/>
      <c r="ED14" s="97"/>
      <c r="EE14" s="97"/>
      <c r="EF14" s="97"/>
      <c r="EG14" s="97"/>
      <c r="EH14" s="96"/>
      <c r="EI14" s="96"/>
      <c r="EJ14" s="96"/>
      <c r="EK14" s="96"/>
      <c r="EL14" s="96"/>
      <c r="EM14" s="96"/>
      <c r="EN14" s="96"/>
      <c r="EO14" s="96"/>
      <c r="EP14" s="96"/>
      <c r="EQ14" s="96"/>
      <c r="ER14" s="96"/>
      <c r="ES14" s="96"/>
      <c r="ET14" s="96"/>
      <c r="EU14" s="96"/>
      <c r="EV14" s="96"/>
      <c r="EW14" s="96"/>
      <c r="EX14" s="96"/>
      <c r="EY14" s="96"/>
      <c r="EZ14" s="96"/>
      <c r="FA14" s="96"/>
      <c r="FB14" s="96"/>
      <c r="FC14" s="96"/>
      <c r="FD14" s="96"/>
      <c r="FE14" s="96"/>
      <c r="FF14" s="96"/>
      <c r="FG14" s="96"/>
      <c r="FH14" s="96"/>
      <c r="FI14" s="96"/>
      <c r="FJ14" s="96"/>
      <c r="FK14" s="96"/>
      <c r="FL14" s="96"/>
      <c r="FM14" s="96"/>
      <c r="FN14" s="96"/>
      <c r="FO14" s="96"/>
      <c r="FP14" s="96"/>
      <c r="FQ14" s="96"/>
      <c r="FR14" s="96"/>
      <c r="FS14" s="96"/>
      <c r="FT14" s="96"/>
      <c r="FU14" s="96"/>
      <c r="FV14" s="96"/>
      <c r="FW14" s="96"/>
      <c r="FX14" s="96"/>
      <c r="FY14" s="96"/>
      <c r="FZ14" s="96"/>
      <c r="GA14" s="96"/>
      <c r="GB14" s="96"/>
      <c r="GC14" s="96"/>
      <c r="GD14" s="96"/>
      <c r="GE14" s="96"/>
      <c r="GF14" s="96"/>
      <c r="GG14" s="96"/>
      <c r="GH14" s="96"/>
      <c r="GI14" s="96"/>
      <c r="GJ14" s="96"/>
      <c r="GK14" s="96"/>
      <c r="GL14" s="96"/>
      <c r="GM14" s="96"/>
      <c r="GN14" s="96"/>
      <c r="GO14" s="96"/>
      <c r="GP14" s="96"/>
      <c r="GQ14" s="96"/>
      <c r="GR14" s="96"/>
      <c r="GS14" s="96"/>
      <c r="GT14" s="96"/>
      <c r="GU14" s="96"/>
      <c r="GV14" s="96"/>
    </row>
    <row r="15" spans="1:204" ht="20.25" customHeight="1" x14ac:dyDescent="0.25">
      <c r="A15" s="166"/>
      <c r="B15" s="133" t="s">
        <v>25</v>
      </c>
      <c r="C15" s="133" t="s">
        <v>26</v>
      </c>
      <c r="D15" s="133">
        <f>C14-D14</f>
        <v>0</v>
      </c>
      <c r="E15" s="133">
        <f>C14-E14</f>
        <v>0</v>
      </c>
      <c r="F15" s="134" t="s">
        <v>27</v>
      </c>
      <c r="G15" s="134">
        <f>F14-G14</f>
        <v>0</v>
      </c>
      <c r="H15" s="134">
        <f>F14-H14</f>
        <v>0</v>
      </c>
      <c r="I15" s="134" t="s">
        <v>14</v>
      </c>
      <c r="J15" s="134">
        <f>I14-J14</f>
        <v>0</v>
      </c>
      <c r="K15" s="134">
        <f>I14-K14</f>
        <v>0</v>
      </c>
      <c r="L15" s="133">
        <f>L14-M14</f>
        <v>0</v>
      </c>
      <c r="M15" s="82">
        <f>IFERROR(L14/M14, 0)</f>
        <v>1</v>
      </c>
      <c r="N15" s="157">
        <f>N14-O14</f>
        <v>0</v>
      </c>
      <c r="O15" s="158" t="str">
        <f>IF(TEXT(N14-O14,"+0,0; -0,0")="+0,0","0,0",TEXT(N14-O14,"+0,0; -0,0"))</f>
        <v>0,0</v>
      </c>
      <c r="P15" s="79"/>
      <c r="Q15" s="79"/>
      <c r="R15" s="99"/>
      <c r="S15" s="79"/>
      <c r="T15" s="94"/>
      <c r="U15" s="94"/>
      <c r="V15" s="94"/>
      <c r="W15" s="94"/>
      <c r="X15" s="94"/>
      <c r="Y15" s="94"/>
      <c r="Z15" s="94"/>
      <c r="AA15" s="94"/>
      <c r="AB15" s="94"/>
      <c r="AC15" s="94"/>
      <c r="AD15" s="94"/>
      <c r="AE15" s="94"/>
      <c r="AF15" s="94"/>
      <c r="AG15" s="94"/>
      <c r="AH15" s="94"/>
      <c r="AI15" s="93"/>
      <c r="AJ15" s="93"/>
      <c r="AK15" s="93"/>
      <c r="AL15" s="93"/>
      <c r="AM15" s="93"/>
      <c r="AN15" s="93"/>
      <c r="AO15" s="93"/>
      <c r="AP15" s="93"/>
      <c r="AQ15" s="93"/>
      <c r="AR15" s="93"/>
      <c r="AS15" s="93"/>
      <c r="AT15" s="93"/>
      <c r="AU15" s="93"/>
      <c r="AV15" s="93"/>
      <c r="AW15" s="93"/>
      <c r="AX15" s="93"/>
      <c r="AY15" s="93"/>
      <c r="AZ15" s="93"/>
      <c r="BA15" s="93"/>
      <c r="BB15" s="93"/>
      <c r="BC15" s="93"/>
      <c r="BD15" s="93"/>
      <c r="BE15" s="93"/>
      <c r="BF15" s="93"/>
      <c r="BG15" s="93"/>
      <c r="BH15" s="93"/>
      <c r="BI15" s="93"/>
      <c r="BJ15" s="93"/>
      <c r="BK15" s="93"/>
      <c r="BL15" s="93"/>
      <c r="BM15" s="93"/>
      <c r="BN15" s="93"/>
      <c r="BO15" s="93"/>
      <c r="BP15" s="93"/>
      <c r="BQ15" s="93"/>
      <c r="BR15" s="93"/>
      <c r="BS15" s="93"/>
      <c r="BT15" s="93"/>
      <c r="BU15" s="93"/>
      <c r="BV15" s="93"/>
      <c r="BW15" s="93"/>
      <c r="BX15" s="93"/>
      <c r="BY15" s="93"/>
      <c r="BZ15" s="93"/>
      <c r="CA15" s="93"/>
      <c r="CB15" s="93"/>
      <c r="CC15" s="93"/>
      <c r="CD15" s="93"/>
      <c r="CE15" s="93"/>
      <c r="CF15" s="93"/>
      <c r="CG15" s="93"/>
      <c r="CH15" s="93"/>
      <c r="CI15" s="93"/>
      <c r="CJ15" s="93"/>
      <c r="CK15" s="93"/>
      <c r="CL15" s="93"/>
      <c r="CM15" s="93"/>
      <c r="CN15" s="93"/>
      <c r="CO15" s="93"/>
      <c r="CP15" s="93"/>
      <c r="CQ15" s="93"/>
      <c r="CR15" s="93"/>
      <c r="CS15" s="93"/>
      <c r="CT15" s="93"/>
      <c r="CU15" s="93"/>
      <c r="CV15" s="93"/>
      <c r="CW15" s="93"/>
      <c r="CX15" s="93"/>
      <c r="CY15" s="93"/>
      <c r="CZ15" s="93"/>
      <c r="DA15" s="93"/>
      <c r="DB15" s="93"/>
      <c r="DC15" s="93"/>
      <c r="DD15" s="93"/>
      <c r="DE15" s="93"/>
      <c r="DF15" s="93"/>
      <c r="DG15" s="93"/>
      <c r="DH15" s="93"/>
      <c r="DI15" s="93"/>
      <c r="DJ15" s="93"/>
      <c r="DK15" s="93"/>
      <c r="DL15" s="93"/>
      <c r="DM15" s="93"/>
      <c r="DN15" s="93"/>
      <c r="DO15" s="93"/>
      <c r="DP15" s="93"/>
      <c r="DQ15" s="93"/>
      <c r="DR15" s="93"/>
      <c r="DS15" s="93"/>
      <c r="DT15" s="93"/>
      <c r="DU15" s="93"/>
      <c r="DV15" s="93"/>
      <c r="DW15" s="93"/>
      <c r="DX15" s="93"/>
      <c r="DY15" s="93"/>
      <c r="DZ15" s="93"/>
      <c r="EA15" s="93"/>
      <c r="EB15" s="93"/>
      <c r="EC15" s="93"/>
      <c r="ED15" s="93"/>
      <c r="EE15" s="93"/>
      <c r="EF15" s="93"/>
      <c r="EG15" s="93"/>
      <c r="EH15" s="92"/>
      <c r="EI15" s="92"/>
      <c r="EJ15" s="92"/>
      <c r="EK15" s="92"/>
      <c r="EL15" s="92"/>
      <c r="EM15" s="92"/>
      <c r="EN15" s="92"/>
      <c r="EO15" s="92"/>
      <c r="EP15" s="92"/>
      <c r="EQ15" s="92"/>
      <c r="ER15" s="92"/>
      <c r="ES15" s="92"/>
      <c r="ET15" s="92"/>
      <c r="EU15" s="92"/>
      <c r="EV15" s="92"/>
      <c r="EW15" s="92"/>
      <c r="EX15" s="92"/>
      <c r="EY15" s="92"/>
      <c r="EZ15" s="92"/>
      <c r="FA15" s="92"/>
      <c r="FB15" s="92"/>
      <c r="FC15" s="92"/>
      <c r="FD15" s="92"/>
      <c r="FE15" s="92"/>
      <c r="FF15" s="92"/>
      <c r="FG15" s="92"/>
      <c r="FH15" s="92"/>
      <c r="FI15" s="92"/>
      <c r="FJ15" s="92"/>
      <c r="FK15" s="92"/>
      <c r="FL15" s="92"/>
      <c r="FM15" s="92"/>
      <c r="FN15" s="92"/>
      <c r="FO15" s="92"/>
      <c r="FP15" s="92"/>
      <c r="FQ15" s="92"/>
      <c r="FR15" s="92"/>
      <c r="FS15" s="92"/>
      <c r="FT15" s="92"/>
      <c r="FU15" s="92"/>
      <c r="FV15" s="92"/>
      <c r="FW15" s="92"/>
      <c r="FX15" s="92"/>
      <c r="FY15" s="92"/>
      <c r="FZ15" s="92"/>
      <c r="GA15" s="92"/>
      <c r="GB15" s="92"/>
      <c r="GC15" s="92"/>
      <c r="GD15" s="92"/>
      <c r="GE15" s="92"/>
      <c r="GF15" s="92"/>
      <c r="GG15" s="92"/>
      <c r="GH15" s="92"/>
      <c r="GI15" s="92"/>
      <c r="GJ15" s="92"/>
      <c r="GK15" s="92"/>
      <c r="GL15" s="92"/>
      <c r="GM15" s="92"/>
      <c r="GN15" s="92"/>
      <c r="GO15" s="92"/>
      <c r="GP15" s="92"/>
      <c r="GQ15" s="92"/>
      <c r="GR15" s="92"/>
      <c r="GS15" s="92"/>
      <c r="GT15" s="92"/>
      <c r="GU15" s="92"/>
      <c r="GV15" s="92"/>
    </row>
    <row r="16" spans="1:204" s="95" customFormat="1" ht="41.25" customHeight="1" x14ac:dyDescent="0.25">
      <c r="A16" s="166" t="s">
        <v>28</v>
      </c>
      <c r="B16" s="89">
        <v>1</v>
      </c>
      <c r="C16" s="89">
        <v>1</v>
      </c>
      <c r="D16" s="131">
        <v>1</v>
      </c>
      <c r="E16" s="132">
        <v>1</v>
      </c>
      <c r="F16" s="67">
        <v>1</v>
      </c>
      <c r="G16" s="91">
        <v>1</v>
      </c>
      <c r="H16" s="90">
        <v>1</v>
      </c>
      <c r="I16" s="101">
        <v>1</v>
      </c>
      <c r="J16" s="91">
        <v>1</v>
      </c>
      <c r="K16" s="90">
        <v>1</v>
      </c>
      <c r="L16" s="89">
        <v>1</v>
      </c>
      <c r="M16" s="128">
        <v>1</v>
      </c>
      <c r="N16" s="67">
        <v>1</v>
      </c>
      <c r="O16" s="66">
        <v>1</v>
      </c>
      <c r="P16" s="100"/>
      <c r="Q16" s="100"/>
      <c r="R16" s="99"/>
      <c r="S16" s="87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6"/>
      <c r="AF16" s="98"/>
      <c r="AG16" s="98"/>
      <c r="AH16" s="98"/>
      <c r="AI16" s="98"/>
      <c r="AJ16" s="98"/>
      <c r="AK16" s="98"/>
      <c r="AL16" s="98"/>
      <c r="AM16" s="98"/>
      <c r="AN16" s="98"/>
      <c r="AO16" s="98"/>
      <c r="AP16" s="98"/>
      <c r="AQ16" s="98"/>
      <c r="AR16" s="98"/>
      <c r="AS16" s="98"/>
      <c r="AT16" s="96"/>
      <c r="AU16" s="96"/>
      <c r="AV16" s="96"/>
      <c r="AW16" s="96"/>
      <c r="AX16" s="96"/>
      <c r="AY16" s="96"/>
      <c r="AZ16" s="96"/>
      <c r="BA16" s="96"/>
      <c r="BB16" s="96"/>
      <c r="BC16" s="96"/>
      <c r="BD16" s="96"/>
      <c r="BE16" s="96"/>
      <c r="BF16" s="97"/>
      <c r="BG16" s="97"/>
      <c r="BH16" s="97"/>
      <c r="BI16" s="97"/>
      <c r="BJ16" s="97"/>
      <c r="BK16" s="97"/>
      <c r="BL16" s="97"/>
      <c r="BM16" s="97"/>
      <c r="BN16" s="97"/>
      <c r="BO16" s="97"/>
      <c r="BP16" s="97"/>
      <c r="BQ16" s="97"/>
      <c r="BR16" s="97"/>
      <c r="BS16" s="97"/>
      <c r="BT16" s="97"/>
      <c r="BU16" s="97"/>
      <c r="BV16" s="97"/>
      <c r="BW16" s="97"/>
      <c r="BX16" s="97"/>
      <c r="BY16" s="97"/>
      <c r="BZ16" s="97"/>
      <c r="CA16" s="97"/>
      <c r="CB16" s="97"/>
      <c r="CC16" s="97"/>
      <c r="CD16" s="97"/>
      <c r="CE16" s="97"/>
      <c r="CF16" s="97"/>
      <c r="CG16" s="97"/>
      <c r="CH16" s="97"/>
      <c r="CI16" s="97"/>
      <c r="CJ16" s="97"/>
      <c r="CK16" s="97"/>
      <c r="CL16" s="97"/>
      <c r="CM16" s="97"/>
      <c r="CN16" s="97"/>
      <c r="CO16" s="97"/>
      <c r="CP16" s="97"/>
      <c r="CQ16" s="97"/>
      <c r="CR16" s="97"/>
      <c r="CS16" s="97"/>
      <c r="CT16" s="97"/>
      <c r="CU16" s="97"/>
      <c r="CV16" s="97"/>
      <c r="CW16" s="97"/>
      <c r="CX16" s="97"/>
      <c r="CY16" s="97"/>
      <c r="CZ16" s="97"/>
      <c r="DA16" s="97"/>
      <c r="DB16" s="97"/>
      <c r="DC16" s="97"/>
      <c r="DD16" s="97"/>
      <c r="DE16" s="97"/>
      <c r="DF16" s="97"/>
      <c r="DG16" s="97"/>
      <c r="DH16" s="97"/>
      <c r="DI16" s="97"/>
      <c r="DJ16" s="97"/>
      <c r="DK16" s="97"/>
      <c r="DL16" s="97"/>
      <c r="DM16" s="97"/>
      <c r="DN16" s="97"/>
      <c r="DO16" s="97"/>
      <c r="DP16" s="97"/>
      <c r="DQ16" s="97"/>
      <c r="DR16" s="97"/>
      <c r="DS16" s="97"/>
      <c r="DT16" s="97"/>
      <c r="DU16" s="97"/>
      <c r="DV16" s="97"/>
      <c r="DW16" s="97"/>
      <c r="DX16" s="97"/>
      <c r="DY16" s="97"/>
      <c r="DZ16" s="97"/>
      <c r="EA16" s="97"/>
      <c r="EB16" s="97"/>
      <c r="EC16" s="97"/>
      <c r="ED16" s="97"/>
      <c r="EE16" s="97"/>
      <c r="EF16" s="97"/>
      <c r="EG16" s="97"/>
      <c r="EH16" s="96"/>
      <c r="EI16" s="96"/>
      <c r="EJ16" s="96"/>
      <c r="EK16" s="96"/>
      <c r="EL16" s="96"/>
      <c r="EM16" s="96"/>
      <c r="EN16" s="96"/>
      <c r="EO16" s="96"/>
      <c r="EP16" s="96"/>
      <c r="EQ16" s="96"/>
      <c r="ER16" s="96"/>
      <c r="ES16" s="96"/>
      <c r="ET16" s="96"/>
      <c r="EU16" s="96"/>
      <c r="EV16" s="96"/>
      <c r="EW16" s="96"/>
      <c r="EX16" s="96"/>
      <c r="EY16" s="96"/>
      <c r="EZ16" s="96"/>
      <c r="FA16" s="96"/>
      <c r="FB16" s="96"/>
      <c r="FC16" s="96"/>
      <c r="FD16" s="96"/>
      <c r="FE16" s="96"/>
      <c r="FF16" s="96"/>
      <c r="FG16" s="96"/>
      <c r="FH16" s="96"/>
      <c r="FI16" s="96"/>
      <c r="FJ16" s="96"/>
      <c r="FK16" s="96"/>
      <c r="FL16" s="96"/>
      <c r="FM16" s="96"/>
      <c r="FN16" s="96"/>
      <c r="FO16" s="96"/>
      <c r="FP16" s="96"/>
      <c r="FQ16" s="96"/>
      <c r="FR16" s="96"/>
      <c r="FS16" s="96"/>
      <c r="FT16" s="96"/>
      <c r="FU16" s="96"/>
      <c r="FV16" s="96"/>
      <c r="FW16" s="96"/>
      <c r="FX16" s="96"/>
      <c r="FY16" s="96"/>
      <c r="FZ16" s="96"/>
      <c r="GA16" s="96"/>
      <c r="GB16" s="96"/>
      <c r="GC16" s="96"/>
      <c r="GD16" s="96"/>
      <c r="GE16" s="96"/>
      <c r="GF16" s="96"/>
      <c r="GG16" s="96"/>
      <c r="GH16" s="96"/>
      <c r="GI16" s="96"/>
      <c r="GJ16" s="96"/>
      <c r="GK16" s="96"/>
      <c r="GL16" s="96"/>
      <c r="GM16" s="96"/>
      <c r="GN16" s="96"/>
      <c r="GO16" s="96"/>
      <c r="GP16" s="96"/>
      <c r="GQ16" s="96"/>
      <c r="GR16" s="96"/>
      <c r="GS16" s="96"/>
      <c r="GT16" s="96"/>
      <c r="GU16" s="96"/>
      <c r="GV16" s="96"/>
    </row>
    <row r="17" spans="1:211" s="75" customFormat="1" ht="20.25" customHeight="1" x14ac:dyDescent="0.25">
      <c r="A17" s="166"/>
      <c r="B17" s="133" t="s">
        <v>29</v>
      </c>
      <c r="C17" s="133" t="s">
        <v>30</v>
      </c>
      <c r="D17" s="133">
        <f>C16-D16</f>
        <v>0</v>
      </c>
      <c r="E17" s="133">
        <f>C16-E16</f>
        <v>0</v>
      </c>
      <c r="F17" s="134" t="s">
        <v>31</v>
      </c>
      <c r="G17" s="134">
        <f>F16-G16</f>
        <v>0</v>
      </c>
      <c r="H17" s="134">
        <f>F16-H16</f>
        <v>0</v>
      </c>
      <c r="I17" s="134" t="s">
        <v>32</v>
      </c>
      <c r="J17" s="134">
        <f>I16-J16</f>
        <v>0</v>
      </c>
      <c r="K17" s="134">
        <f>I16-K16</f>
        <v>0</v>
      </c>
      <c r="L17" s="133">
        <f>L16-M16</f>
        <v>0</v>
      </c>
      <c r="M17" s="82">
        <f>IFERROR(L16/M16, 0)</f>
        <v>1</v>
      </c>
      <c r="N17" s="157">
        <f>N16-O16</f>
        <v>0</v>
      </c>
      <c r="O17" s="158" t="str">
        <f>IF(TEXT(N16-O16,"+0,0; -0,0")="+0,0","0,0",TEXT(N16-O16,"+0,0; -0,0"))</f>
        <v>0,0</v>
      </c>
      <c r="P17" s="79"/>
      <c r="Q17" s="79"/>
      <c r="R17" s="79"/>
      <c r="S17" s="79"/>
      <c r="T17" s="94"/>
      <c r="U17" s="94"/>
      <c r="V17" s="94"/>
      <c r="W17" s="94"/>
      <c r="X17" s="94"/>
      <c r="Y17" s="94"/>
      <c r="Z17" s="94"/>
      <c r="AA17" s="94"/>
      <c r="AB17" s="94"/>
      <c r="AC17" s="94"/>
      <c r="AD17" s="94"/>
      <c r="AE17" s="94"/>
      <c r="AF17" s="94"/>
      <c r="AG17" s="94"/>
      <c r="AH17" s="94"/>
      <c r="AI17" s="93"/>
      <c r="AJ17" s="93"/>
      <c r="AK17" s="93"/>
      <c r="AL17" s="93"/>
      <c r="AM17" s="93"/>
      <c r="AN17" s="93"/>
      <c r="AO17" s="93"/>
      <c r="AP17" s="93"/>
      <c r="AQ17" s="93"/>
      <c r="AR17" s="93"/>
      <c r="AS17" s="93"/>
      <c r="AT17" s="93"/>
      <c r="AU17" s="93"/>
      <c r="AV17" s="93"/>
      <c r="AW17" s="93"/>
      <c r="AX17" s="93"/>
      <c r="AY17" s="93"/>
      <c r="AZ17" s="93"/>
      <c r="BA17" s="93"/>
      <c r="BB17" s="93"/>
      <c r="BC17" s="93"/>
      <c r="BD17" s="93"/>
      <c r="BE17" s="93"/>
      <c r="BF17" s="93"/>
      <c r="BG17" s="93"/>
      <c r="BH17" s="93"/>
      <c r="BI17" s="93"/>
      <c r="BJ17" s="93"/>
      <c r="BK17" s="93"/>
      <c r="BL17" s="93"/>
      <c r="BM17" s="93"/>
      <c r="BN17" s="93"/>
      <c r="BO17" s="93"/>
      <c r="BP17" s="93"/>
      <c r="BQ17" s="93"/>
      <c r="BR17" s="93"/>
      <c r="BS17" s="93"/>
      <c r="BT17" s="93"/>
      <c r="BU17" s="93"/>
      <c r="BV17" s="93"/>
      <c r="BW17" s="93"/>
      <c r="BX17" s="93"/>
      <c r="BY17" s="93"/>
      <c r="BZ17" s="93"/>
      <c r="CA17" s="93"/>
      <c r="CB17" s="93"/>
      <c r="CC17" s="93"/>
      <c r="CD17" s="93"/>
      <c r="CE17" s="93"/>
      <c r="CF17" s="93"/>
      <c r="CG17" s="93"/>
      <c r="CH17" s="93"/>
      <c r="CI17" s="93"/>
      <c r="CJ17" s="93"/>
      <c r="CK17" s="93"/>
      <c r="CL17" s="93"/>
      <c r="CM17" s="93"/>
      <c r="CN17" s="93"/>
      <c r="CO17" s="93"/>
      <c r="CP17" s="93"/>
      <c r="CQ17" s="93"/>
      <c r="CR17" s="93"/>
      <c r="CS17" s="93"/>
      <c r="CT17" s="93"/>
      <c r="CU17" s="93"/>
      <c r="CV17" s="93"/>
      <c r="CW17" s="93"/>
      <c r="CX17" s="93"/>
      <c r="CY17" s="93"/>
      <c r="CZ17" s="93"/>
      <c r="DA17" s="93"/>
      <c r="DB17" s="93"/>
      <c r="DC17" s="93"/>
      <c r="DD17" s="93"/>
      <c r="DE17" s="93"/>
      <c r="DF17" s="93"/>
      <c r="DG17" s="93"/>
      <c r="DH17" s="93"/>
      <c r="DI17" s="93"/>
      <c r="DJ17" s="93"/>
      <c r="DK17" s="93"/>
      <c r="DL17" s="93"/>
      <c r="DM17" s="93"/>
      <c r="DN17" s="93"/>
      <c r="DO17" s="93"/>
      <c r="DP17" s="93"/>
      <c r="DQ17" s="93"/>
      <c r="DR17" s="93"/>
      <c r="DS17" s="93"/>
      <c r="DT17" s="93"/>
      <c r="DU17" s="93"/>
      <c r="DV17" s="93"/>
      <c r="DW17" s="93"/>
      <c r="DX17" s="93"/>
      <c r="DY17" s="93"/>
      <c r="DZ17" s="93"/>
      <c r="EA17" s="93"/>
      <c r="EB17" s="93"/>
      <c r="EC17" s="93"/>
      <c r="ED17" s="93"/>
      <c r="EE17" s="93"/>
      <c r="EF17" s="93"/>
      <c r="EG17" s="93"/>
      <c r="EH17" s="92"/>
      <c r="EI17" s="92"/>
      <c r="EJ17" s="92"/>
      <c r="EK17" s="92"/>
      <c r="EL17" s="92"/>
      <c r="EM17" s="92"/>
      <c r="EN17" s="92"/>
      <c r="EO17" s="92"/>
      <c r="EP17" s="92"/>
      <c r="EQ17" s="92"/>
      <c r="ER17" s="92"/>
      <c r="ES17" s="92"/>
      <c r="ET17" s="92"/>
      <c r="EU17" s="92"/>
      <c r="EV17" s="92"/>
      <c r="EW17" s="92"/>
      <c r="EX17" s="92"/>
      <c r="EY17" s="92"/>
      <c r="EZ17" s="92"/>
      <c r="FA17" s="92"/>
      <c r="FB17" s="92"/>
      <c r="FC17" s="92"/>
      <c r="FD17" s="92"/>
      <c r="FE17" s="92"/>
      <c r="FF17" s="92"/>
      <c r="FG17" s="92"/>
      <c r="FH17" s="92"/>
      <c r="FI17" s="92"/>
      <c r="FJ17" s="92"/>
      <c r="FK17" s="92"/>
      <c r="FL17" s="92"/>
      <c r="FM17" s="92"/>
      <c r="FN17" s="92"/>
      <c r="FO17" s="92"/>
      <c r="FP17" s="92"/>
      <c r="FQ17" s="92"/>
      <c r="FR17" s="92"/>
      <c r="FS17" s="92"/>
      <c r="FT17" s="92"/>
      <c r="FU17" s="92"/>
      <c r="FV17" s="92"/>
      <c r="FW17" s="92"/>
      <c r="FX17" s="92"/>
      <c r="FY17" s="92"/>
      <c r="FZ17" s="92"/>
      <c r="GA17" s="92"/>
      <c r="GB17" s="92"/>
      <c r="GC17" s="92"/>
      <c r="GD17" s="92"/>
      <c r="GE17" s="92"/>
      <c r="GF17" s="92"/>
      <c r="GG17" s="92"/>
      <c r="GH17" s="92"/>
      <c r="GI17" s="92"/>
      <c r="GJ17" s="92"/>
      <c r="GK17" s="92"/>
      <c r="GL17" s="92"/>
      <c r="GM17" s="92"/>
      <c r="GN17" s="92"/>
      <c r="GO17" s="92"/>
      <c r="GP17" s="92"/>
      <c r="GQ17" s="92"/>
      <c r="GR17" s="92"/>
      <c r="GS17" s="92"/>
      <c r="GT17" s="92"/>
      <c r="GU17" s="92"/>
      <c r="GV17" s="92"/>
    </row>
    <row r="18" spans="1:211" s="57" customFormat="1" ht="28.5" customHeight="1" x14ac:dyDescent="0.3">
      <c r="A18" s="156" t="s">
        <v>36</v>
      </c>
      <c r="B18" s="89">
        <v>1</v>
      </c>
      <c r="C18" s="89">
        <v>1</v>
      </c>
      <c r="D18" s="131">
        <v>1</v>
      </c>
      <c r="E18" s="132">
        <v>1</v>
      </c>
      <c r="F18" s="67">
        <v>1</v>
      </c>
      <c r="G18" s="91">
        <v>1</v>
      </c>
      <c r="H18" s="90">
        <v>1</v>
      </c>
      <c r="I18" s="101">
        <v>1</v>
      </c>
      <c r="J18" s="91">
        <v>1</v>
      </c>
      <c r="K18" s="90">
        <v>0</v>
      </c>
      <c r="L18" s="89">
        <v>0</v>
      </c>
      <c r="M18" s="128">
        <v>0</v>
      </c>
      <c r="N18" s="67">
        <v>1</v>
      </c>
      <c r="O18" s="66">
        <v>1</v>
      </c>
      <c r="P18" s="65"/>
      <c r="Q18" s="64"/>
      <c r="R18" s="64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  <c r="AM18" s="59"/>
      <c r="AN18" s="59"/>
      <c r="AO18" s="59"/>
      <c r="AP18" s="59"/>
      <c r="AQ18" s="59"/>
      <c r="AR18" s="59"/>
      <c r="AS18" s="59"/>
      <c r="AT18" s="59"/>
      <c r="AU18" s="59"/>
      <c r="AV18" s="59"/>
      <c r="AW18" s="59"/>
      <c r="AX18" s="59"/>
      <c r="AY18" s="59"/>
      <c r="AZ18" s="59"/>
      <c r="BA18" s="59"/>
      <c r="BB18" s="59"/>
      <c r="BC18" s="59"/>
      <c r="BD18" s="59"/>
      <c r="BE18" s="59"/>
      <c r="BF18" s="60"/>
      <c r="BG18" s="60"/>
      <c r="BH18" s="60"/>
      <c r="BI18" s="60"/>
      <c r="BJ18" s="60"/>
      <c r="BK18" s="60"/>
      <c r="BL18" s="60"/>
      <c r="BM18" s="60"/>
      <c r="BN18" s="60"/>
      <c r="BO18" s="60"/>
      <c r="BP18" s="60"/>
      <c r="BQ18" s="60"/>
      <c r="BR18" s="60"/>
      <c r="BS18" s="60"/>
      <c r="BT18" s="60"/>
      <c r="BU18" s="60"/>
      <c r="BV18" s="60"/>
      <c r="BW18" s="60"/>
      <c r="BX18" s="60"/>
      <c r="BY18" s="60"/>
      <c r="BZ18" s="60"/>
      <c r="CA18" s="60"/>
      <c r="CB18" s="60"/>
      <c r="CC18" s="60"/>
      <c r="CD18" s="60"/>
      <c r="CE18" s="59"/>
      <c r="CF18" s="59"/>
      <c r="CG18" s="59"/>
      <c r="CH18" s="59"/>
      <c r="CI18" s="59"/>
      <c r="CJ18" s="59"/>
      <c r="CK18" s="59"/>
      <c r="CL18" s="59"/>
      <c r="CM18" s="59"/>
      <c r="CN18" s="59"/>
      <c r="CO18" s="59"/>
      <c r="CP18" s="59"/>
      <c r="CQ18" s="59"/>
      <c r="CR18" s="59"/>
      <c r="CS18" s="59"/>
      <c r="CT18" s="59"/>
      <c r="CU18" s="59"/>
      <c r="CV18" s="59"/>
      <c r="CW18" s="59"/>
      <c r="CX18" s="59"/>
      <c r="CY18" s="59"/>
      <c r="CZ18" s="59"/>
      <c r="DA18" s="59"/>
      <c r="DB18" s="59"/>
      <c r="DC18" s="59"/>
      <c r="DD18" s="59"/>
      <c r="DE18" s="59"/>
      <c r="DF18" s="58"/>
      <c r="DI18" s="49"/>
      <c r="DJ18" s="49"/>
      <c r="DK18" s="49"/>
      <c r="DL18" s="49"/>
      <c r="DM18" s="49"/>
      <c r="DN18" s="49"/>
      <c r="DO18" s="49"/>
      <c r="DP18" s="49"/>
      <c r="DQ18" s="49"/>
      <c r="DR18" s="49"/>
      <c r="DS18" s="49"/>
      <c r="DT18" s="49"/>
      <c r="DU18" s="49"/>
      <c r="DV18" s="49"/>
      <c r="DW18" s="49"/>
    </row>
    <row r="19" spans="1:211" s="49" customFormat="1" ht="18.75" customHeight="1" x14ac:dyDescent="0.4">
      <c r="A19" s="156"/>
      <c r="B19" s="133" t="s">
        <v>35</v>
      </c>
      <c r="C19" s="133" t="s">
        <v>30</v>
      </c>
      <c r="D19" s="133">
        <f>C18-D18</f>
        <v>0</v>
      </c>
      <c r="E19" s="133">
        <f>C18-E18</f>
        <v>0</v>
      </c>
      <c r="F19" s="134" t="s">
        <v>31</v>
      </c>
      <c r="G19" s="134">
        <f>F18-G18</f>
        <v>0</v>
      </c>
      <c r="H19" s="134">
        <f>F18-H18</f>
        <v>0</v>
      </c>
      <c r="I19" s="134" t="s">
        <v>32</v>
      </c>
      <c r="J19" s="134">
        <f>I18-J18</f>
        <v>0</v>
      </c>
      <c r="K19" s="134">
        <f>I18-K18</f>
        <v>1</v>
      </c>
      <c r="L19" s="133">
        <f>L18-M18</f>
        <v>0</v>
      </c>
      <c r="M19" s="82">
        <f>IFERROR(L18/M18, 0)</f>
        <v>0</v>
      </c>
      <c r="N19" s="157">
        <f>N18-O18</f>
        <v>0</v>
      </c>
      <c r="O19" s="158" t="str">
        <f>IF(TEXT(N18-O18,"+0,0; -0,0")="+0,0","0,0",TEXT(N18-O18,"+0,0; -0,0"))</f>
        <v>0,0</v>
      </c>
      <c r="P19" s="51"/>
      <c r="Q19" s="50"/>
      <c r="R19" s="50"/>
      <c r="S19" s="50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51"/>
      <c r="AQ19" s="51"/>
      <c r="AR19" s="51"/>
      <c r="AS19" s="51"/>
      <c r="AT19" s="51"/>
      <c r="AU19" s="51"/>
      <c r="AV19" s="51"/>
      <c r="AW19" s="51"/>
      <c r="AX19" s="51"/>
      <c r="AY19" s="51"/>
      <c r="AZ19" s="51"/>
      <c r="BA19" s="51"/>
      <c r="BB19" s="51"/>
      <c r="BC19" s="51"/>
      <c r="BD19" s="51"/>
      <c r="BE19" s="51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51"/>
      <c r="CF19" s="51"/>
      <c r="CG19" s="51"/>
      <c r="CH19" s="51"/>
      <c r="CI19" s="51"/>
      <c r="CJ19" s="51"/>
      <c r="CK19" s="51"/>
      <c r="CL19" s="51"/>
      <c r="CM19" s="51"/>
      <c r="CN19" s="51"/>
      <c r="CO19" s="51"/>
      <c r="CP19" s="51"/>
      <c r="CQ19" s="51"/>
      <c r="CR19" s="51"/>
      <c r="CS19" s="51"/>
      <c r="CT19" s="51"/>
      <c r="CU19" s="51"/>
      <c r="CV19" s="51"/>
      <c r="CW19" s="51"/>
      <c r="CX19" s="51"/>
      <c r="CY19" s="51"/>
      <c r="CZ19" s="51"/>
      <c r="DA19" s="51"/>
      <c r="DB19" s="51"/>
      <c r="DC19" s="51"/>
      <c r="DD19" s="51"/>
      <c r="DE19" s="51"/>
      <c r="DF19" s="50"/>
    </row>
    <row r="20" spans="1:211" s="83" customFormat="1" ht="35.25" customHeight="1" x14ac:dyDescent="0.25">
      <c r="A20" s="167" t="s">
        <v>33</v>
      </c>
      <c r="B20" s="89"/>
      <c r="C20" s="89">
        <f>C16+C14+C12+C10+C8+C6+C18</f>
        <v>7</v>
      </c>
      <c r="D20" s="89">
        <f t="shared" ref="D20:M20" si="0">D16+D14+D12+D10+D8+D6+D18</f>
        <v>7</v>
      </c>
      <c r="E20" s="89">
        <f t="shared" si="0"/>
        <v>7</v>
      </c>
      <c r="F20" s="89">
        <f t="shared" si="0"/>
        <v>7</v>
      </c>
      <c r="G20" s="89">
        <f t="shared" si="0"/>
        <v>7</v>
      </c>
      <c r="H20" s="89">
        <f t="shared" si="0"/>
        <v>7</v>
      </c>
      <c r="I20" s="89">
        <f t="shared" si="0"/>
        <v>7</v>
      </c>
      <c r="J20" s="89">
        <f t="shared" si="0"/>
        <v>7</v>
      </c>
      <c r="K20" s="89">
        <f t="shared" si="0"/>
        <v>6</v>
      </c>
      <c r="L20" s="89">
        <f t="shared" si="0"/>
        <v>6</v>
      </c>
      <c r="M20" s="89">
        <f t="shared" si="0"/>
        <v>6</v>
      </c>
      <c r="N20" s="67"/>
      <c r="O20" s="67"/>
      <c r="P20" s="88"/>
      <c r="Q20" s="88"/>
      <c r="R20" s="88"/>
      <c r="S20" s="87"/>
      <c r="T20" s="86"/>
      <c r="U20" s="86"/>
      <c r="V20" s="86"/>
      <c r="W20" s="86"/>
      <c r="X20" s="86"/>
      <c r="Y20" s="86"/>
      <c r="Z20" s="86"/>
      <c r="AA20" s="86"/>
      <c r="AB20" s="85"/>
      <c r="AC20" s="85"/>
      <c r="AD20" s="85"/>
      <c r="AE20" s="85"/>
      <c r="AF20" s="85"/>
      <c r="AG20" s="85"/>
      <c r="AH20" s="85"/>
      <c r="AI20" s="85"/>
      <c r="AJ20" s="85"/>
      <c r="AK20" s="85"/>
      <c r="AL20" s="85"/>
      <c r="AM20" s="85"/>
      <c r="AN20" s="85"/>
      <c r="AO20" s="85"/>
      <c r="AP20" s="85"/>
      <c r="AQ20" s="85"/>
      <c r="AR20" s="85"/>
      <c r="AS20" s="85"/>
      <c r="AT20" s="84"/>
      <c r="AU20" s="84"/>
      <c r="AV20" s="84"/>
      <c r="AW20" s="84"/>
      <c r="AX20" s="84"/>
      <c r="AY20" s="84"/>
      <c r="AZ20" s="84"/>
      <c r="BA20" s="84"/>
      <c r="BB20" s="84"/>
      <c r="BC20" s="84"/>
      <c r="BD20" s="84"/>
      <c r="BE20" s="84"/>
      <c r="BF20" s="85"/>
      <c r="BG20" s="85"/>
      <c r="BH20" s="85"/>
      <c r="BI20" s="85"/>
      <c r="BJ20" s="85"/>
      <c r="BK20" s="85"/>
      <c r="BL20" s="85"/>
      <c r="BM20" s="85"/>
      <c r="BN20" s="85"/>
      <c r="BO20" s="85"/>
      <c r="BP20" s="85"/>
      <c r="BQ20" s="85"/>
      <c r="BR20" s="85"/>
      <c r="BS20" s="85"/>
      <c r="BT20" s="85"/>
      <c r="BU20" s="85"/>
      <c r="BV20" s="85"/>
      <c r="BW20" s="85"/>
      <c r="BX20" s="85"/>
      <c r="BY20" s="85"/>
      <c r="BZ20" s="85"/>
      <c r="CA20" s="85"/>
      <c r="CB20" s="85"/>
      <c r="CC20" s="85"/>
      <c r="CD20" s="85"/>
      <c r="CE20" s="85"/>
      <c r="CF20" s="85"/>
      <c r="CG20" s="85"/>
      <c r="CH20" s="85"/>
      <c r="CI20" s="85"/>
      <c r="CJ20" s="85"/>
      <c r="CK20" s="85"/>
      <c r="CL20" s="85"/>
      <c r="CM20" s="85"/>
      <c r="CN20" s="85"/>
      <c r="CO20" s="85"/>
      <c r="CP20" s="85"/>
      <c r="CQ20" s="85"/>
      <c r="CR20" s="85"/>
      <c r="CS20" s="85"/>
      <c r="CT20" s="85"/>
      <c r="CU20" s="85"/>
      <c r="CV20" s="85"/>
      <c r="CW20" s="85"/>
      <c r="CX20" s="85"/>
      <c r="CY20" s="85"/>
      <c r="CZ20" s="85"/>
      <c r="DA20" s="85"/>
      <c r="DB20" s="85"/>
      <c r="DC20" s="85"/>
      <c r="DD20" s="85"/>
      <c r="DE20" s="85"/>
      <c r="DF20" s="85"/>
      <c r="DG20" s="85"/>
      <c r="DH20" s="85"/>
      <c r="DI20" s="85"/>
      <c r="DJ20" s="85"/>
      <c r="DK20" s="85"/>
      <c r="DL20" s="85"/>
      <c r="DM20" s="85"/>
      <c r="DN20" s="85"/>
      <c r="DO20" s="85"/>
      <c r="DP20" s="85"/>
      <c r="DQ20" s="85"/>
      <c r="DR20" s="85"/>
      <c r="DS20" s="85"/>
      <c r="DT20" s="85"/>
      <c r="DU20" s="85"/>
      <c r="DV20" s="85"/>
      <c r="DW20" s="85"/>
      <c r="DX20" s="85"/>
      <c r="DY20" s="85"/>
      <c r="DZ20" s="85"/>
      <c r="EA20" s="85"/>
      <c r="EB20" s="85"/>
      <c r="EC20" s="85"/>
      <c r="ED20" s="85"/>
      <c r="EE20" s="85"/>
      <c r="EF20" s="85"/>
      <c r="EG20" s="85"/>
      <c r="EH20" s="84"/>
      <c r="EI20" s="84"/>
      <c r="EJ20" s="84"/>
      <c r="EK20" s="84"/>
      <c r="EL20" s="84"/>
      <c r="EM20" s="84"/>
      <c r="EN20" s="84"/>
      <c r="EO20" s="84"/>
      <c r="EP20" s="84"/>
      <c r="EQ20" s="84"/>
      <c r="ER20" s="84"/>
      <c r="ES20" s="84"/>
      <c r="ET20" s="84"/>
      <c r="EU20" s="84"/>
      <c r="EV20" s="84"/>
      <c r="EW20" s="84"/>
      <c r="EX20" s="84"/>
      <c r="EY20" s="84"/>
      <c r="EZ20" s="84"/>
      <c r="FA20" s="84"/>
      <c r="FB20" s="84"/>
      <c r="FC20" s="84"/>
      <c r="FD20" s="84"/>
      <c r="FE20" s="84"/>
      <c r="FF20" s="84"/>
      <c r="FG20" s="84"/>
      <c r="FH20" s="84"/>
      <c r="FI20" s="84"/>
      <c r="FJ20" s="84"/>
      <c r="FK20" s="84"/>
      <c r="FL20" s="84"/>
      <c r="FM20" s="84"/>
      <c r="FN20" s="84"/>
      <c r="FO20" s="84"/>
      <c r="FP20" s="84"/>
      <c r="FQ20" s="84"/>
      <c r="FR20" s="84"/>
      <c r="FS20" s="84"/>
      <c r="FT20" s="84"/>
      <c r="FU20" s="84"/>
      <c r="FV20" s="84"/>
      <c r="FW20" s="84"/>
      <c r="FX20" s="84"/>
      <c r="FY20" s="84"/>
      <c r="FZ20" s="84"/>
      <c r="GA20" s="84"/>
      <c r="GB20" s="84"/>
      <c r="GC20" s="84"/>
      <c r="GD20" s="84"/>
      <c r="GE20" s="84"/>
      <c r="GF20" s="84"/>
      <c r="GG20" s="84"/>
      <c r="GH20" s="84"/>
      <c r="GI20" s="84"/>
      <c r="GJ20" s="84"/>
      <c r="GK20" s="84"/>
      <c r="GL20" s="84"/>
      <c r="GM20" s="84"/>
      <c r="GN20" s="84"/>
      <c r="GO20" s="84"/>
      <c r="GP20" s="84"/>
      <c r="GQ20" s="84"/>
      <c r="GR20" s="84"/>
      <c r="GS20" s="84"/>
      <c r="GT20" s="84"/>
      <c r="GU20" s="84"/>
      <c r="GV20" s="84"/>
    </row>
    <row r="21" spans="1:211" s="75" customFormat="1" ht="16.5" customHeight="1" x14ac:dyDescent="0.25">
      <c r="A21" s="167"/>
      <c r="B21" s="133"/>
      <c r="C21" s="133">
        <f>C7+C9+C11+C13+C15+C17+C19</f>
        <v>-6.5299999999999994</v>
      </c>
      <c r="D21" s="133">
        <f t="shared" ref="D21:M21" si="1">D7+D9+D11+D13+D15+D17+D19</f>
        <v>0</v>
      </c>
      <c r="E21" s="133">
        <f t="shared" si="1"/>
        <v>0</v>
      </c>
      <c r="F21" s="133">
        <f t="shared" si="1"/>
        <v>-27.14</v>
      </c>
      <c r="G21" s="133">
        <f t="shared" si="1"/>
        <v>0</v>
      </c>
      <c r="H21" s="133">
        <f t="shared" si="1"/>
        <v>0</v>
      </c>
      <c r="I21" s="133">
        <f t="shared" si="1"/>
        <v>166</v>
      </c>
      <c r="J21" s="133">
        <f t="shared" si="1"/>
        <v>0</v>
      </c>
      <c r="K21" s="133">
        <f t="shared" si="1"/>
        <v>1</v>
      </c>
      <c r="L21" s="133">
        <f t="shared" si="1"/>
        <v>0</v>
      </c>
      <c r="M21" s="133">
        <f t="shared" si="1"/>
        <v>6</v>
      </c>
      <c r="N21" s="81"/>
      <c r="O21" s="80"/>
      <c r="P21" s="79"/>
      <c r="Q21" s="79"/>
      <c r="R21" s="79"/>
      <c r="S21" s="79"/>
      <c r="T21" s="78"/>
      <c r="U21" s="78"/>
      <c r="V21" s="78"/>
      <c r="W21" s="78"/>
      <c r="X21" s="78"/>
      <c r="Y21" s="78"/>
      <c r="Z21" s="76"/>
      <c r="AA21" s="76"/>
      <c r="AB21" s="76"/>
      <c r="AC21" s="76"/>
      <c r="AD21" s="76"/>
      <c r="AE21" s="76"/>
      <c r="AF21" s="76"/>
      <c r="AG21" s="76"/>
      <c r="AH21" s="76"/>
      <c r="AI21" s="76"/>
      <c r="AJ21" s="76"/>
      <c r="AK21" s="76"/>
      <c r="AL21" s="76"/>
      <c r="AM21" s="76"/>
      <c r="AN21" s="76"/>
      <c r="AO21" s="76"/>
      <c r="AP21" s="76"/>
      <c r="AQ21" s="76"/>
      <c r="AR21" s="76"/>
      <c r="AS21" s="76"/>
      <c r="AT21" s="76"/>
      <c r="AU21" s="76"/>
      <c r="AV21" s="76"/>
      <c r="AW21" s="76"/>
      <c r="AX21" s="76"/>
      <c r="AY21" s="76"/>
      <c r="AZ21" s="76"/>
      <c r="BA21" s="76"/>
      <c r="BB21" s="76"/>
      <c r="BC21" s="76"/>
      <c r="BD21" s="76"/>
      <c r="BE21" s="76"/>
      <c r="BF21" s="77"/>
      <c r="BG21" s="77"/>
      <c r="BH21" s="77"/>
      <c r="BI21" s="77"/>
      <c r="BJ21" s="77"/>
      <c r="BK21" s="77"/>
      <c r="BL21" s="77"/>
      <c r="BM21" s="77"/>
      <c r="BN21" s="77"/>
      <c r="BO21" s="77"/>
      <c r="BP21" s="77"/>
      <c r="BQ21" s="77"/>
      <c r="BR21" s="77"/>
      <c r="BS21" s="77"/>
      <c r="BT21" s="77"/>
      <c r="BU21" s="77"/>
      <c r="BV21" s="77"/>
      <c r="BW21" s="77"/>
      <c r="BX21" s="77"/>
      <c r="BY21" s="77"/>
      <c r="BZ21" s="77"/>
      <c r="CA21" s="77"/>
      <c r="CB21" s="77"/>
      <c r="CC21" s="77"/>
      <c r="CD21" s="77"/>
      <c r="CE21" s="76"/>
      <c r="CF21" s="76"/>
      <c r="CG21" s="76"/>
      <c r="CH21" s="76"/>
      <c r="CI21" s="76"/>
      <c r="CJ21" s="76"/>
      <c r="CK21" s="76"/>
      <c r="CL21" s="76"/>
      <c r="CM21" s="76"/>
      <c r="CN21" s="76"/>
      <c r="CO21" s="76"/>
      <c r="CP21" s="76"/>
      <c r="CQ21" s="76"/>
      <c r="CR21" s="76"/>
      <c r="CS21" s="76"/>
      <c r="CT21" s="76"/>
      <c r="CU21" s="76"/>
      <c r="CV21" s="76"/>
      <c r="CW21" s="76"/>
      <c r="CX21" s="76"/>
      <c r="CY21" s="76"/>
      <c r="CZ21" s="76"/>
      <c r="DA21" s="76"/>
      <c r="DB21" s="76"/>
      <c r="DC21" s="76"/>
      <c r="DD21" s="76"/>
      <c r="DE21" s="76"/>
    </row>
    <row r="22" spans="1:211" s="70" customFormat="1" ht="28.5" customHeight="1" x14ac:dyDescent="0.3">
      <c r="A22" s="156" t="s">
        <v>34</v>
      </c>
      <c r="B22" s="89">
        <v>1</v>
      </c>
      <c r="C22" s="89">
        <v>1</v>
      </c>
      <c r="D22" s="89">
        <v>1</v>
      </c>
      <c r="E22" s="89">
        <v>1</v>
      </c>
      <c r="F22" s="89">
        <v>1</v>
      </c>
      <c r="G22" s="89">
        <v>1</v>
      </c>
      <c r="H22" s="89">
        <v>1</v>
      </c>
      <c r="I22" s="89">
        <v>1</v>
      </c>
      <c r="J22" s="89">
        <v>1</v>
      </c>
      <c r="K22" s="89">
        <v>1</v>
      </c>
      <c r="L22" s="89">
        <v>1</v>
      </c>
      <c r="M22" s="89">
        <v>1</v>
      </c>
      <c r="N22" s="67">
        <v>1</v>
      </c>
      <c r="O22" s="66">
        <v>1</v>
      </c>
      <c r="P22" s="74"/>
      <c r="Q22" s="74"/>
      <c r="R22" s="74"/>
      <c r="S22" s="74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3"/>
      <c r="BG22" s="73"/>
      <c r="BH22" s="73"/>
      <c r="BI22" s="73"/>
      <c r="BJ22" s="73"/>
      <c r="BK22" s="73"/>
      <c r="BL22" s="73"/>
      <c r="BM22" s="73"/>
      <c r="BN22" s="73"/>
      <c r="BO22" s="73"/>
      <c r="BP22" s="73"/>
      <c r="BQ22" s="73"/>
      <c r="BR22" s="73"/>
      <c r="BS22" s="73"/>
      <c r="BT22" s="73"/>
      <c r="BU22" s="73"/>
      <c r="BV22" s="73"/>
      <c r="BW22" s="73"/>
      <c r="BX22" s="73"/>
      <c r="BY22" s="73"/>
      <c r="BZ22" s="73"/>
      <c r="CA22" s="73"/>
      <c r="CB22" s="73"/>
      <c r="CC22" s="73"/>
      <c r="CD22" s="73"/>
      <c r="CE22" s="72"/>
      <c r="CF22" s="72"/>
      <c r="CG22" s="72"/>
      <c r="CH22" s="72"/>
      <c r="CI22" s="72"/>
      <c r="CJ22" s="72"/>
      <c r="CK22" s="72"/>
      <c r="CL22" s="72"/>
      <c r="CM22" s="72"/>
      <c r="CN22" s="72"/>
      <c r="CO22" s="72"/>
      <c r="CP22" s="72"/>
      <c r="CQ22" s="72"/>
      <c r="CR22" s="72"/>
      <c r="CS22" s="72"/>
      <c r="CT22" s="72"/>
      <c r="CU22" s="72"/>
      <c r="CV22" s="72"/>
      <c r="CW22" s="72"/>
      <c r="CX22" s="72"/>
      <c r="CY22" s="72"/>
      <c r="CZ22" s="72"/>
      <c r="DA22" s="72"/>
      <c r="DB22" s="72"/>
      <c r="DC22" s="72"/>
      <c r="DD22" s="72"/>
      <c r="DE22" s="72"/>
      <c r="FQ22" s="71"/>
    </row>
    <row r="23" spans="1:211" s="49" customFormat="1" ht="18.75" customHeight="1" x14ac:dyDescent="0.3">
      <c r="A23" s="156"/>
      <c r="B23" s="133" t="s">
        <v>35</v>
      </c>
      <c r="C23" s="133" t="s">
        <v>26</v>
      </c>
      <c r="D23" s="133">
        <f>C22-D22</f>
        <v>0</v>
      </c>
      <c r="E23" s="133">
        <f>C22-E22</f>
        <v>0</v>
      </c>
      <c r="F23" s="134" t="s">
        <v>27</v>
      </c>
      <c r="G23" s="134">
        <f>F22-G22</f>
        <v>0</v>
      </c>
      <c r="H23" s="134">
        <f>F22-H22</f>
        <v>0</v>
      </c>
      <c r="I23" s="134" t="s">
        <v>14</v>
      </c>
      <c r="J23" s="134">
        <f>I22-J22</f>
        <v>0</v>
      </c>
      <c r="K23" s="134">
        <f>I22-K22</f>
        <v>0</v>
      </c>
      <c r="L23" s="133">
        <f>L22-M22</f>
        <v>0</v>
      </c>
      <c r="M23" s="82">
        <f>IFERROR(L22/M22, 0)</f>
        <v>1</v>
      </c>
      <c r="N23" s="157">
        <f>N22-O22</f>
        <v>0</v>
      </c>
      <c r="O23" s="158" t="str">
        <f>IF(TEXT(N22-O22,"+0,0; -0,0")="+0,0","0,0",TEXT(N22-O22,"+0,0; -0,0"))</f>
        <v>0,0</v>
      </c>
      <c r="P23" s="69"/>
      <c r="Q23" s="69"/>
      <c r="R23" s="69"/>
      <c r="S23" s="69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51"/>
      <c r="AQ23" s="51"/>
      <c r="AR23" s="51"/>
      <c r="AS23" s="51"/>
      <c r="AT23" s="51"/>
      <c r="AU23" s="51"/>
      <c r="AV23" s="51"/>
      <c r="AW23" s="51"/>
      <c r="AX23" s="51"/>
      <c r="AY23" s="51"/>
      <c r="AZ23" s="51"/>
      <c r="BA23" s="51"/>
      <c r="BB23" s="51"/>
      <c r="BC23" s="51"/>
      <c r="BD23" s="51"/>
      <c r="BE23" s="51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51"/>
      <c r="CF23" s="51"/>
      <c r="CG23" s="51"/>
      <c r="CH23" s="51"/>
      <c r="CI23" s="51"/>
      <c r="CJ23" s="51"/>
      <c r="CK23" s="51"/>
      <c r="CL23" s="51"/>
      <c r="CM23" s="51"/>
      <c r="CN23" s="51"/>
      <c r="CO23" s="51"/>
      <c r="CP23" s="51"/>
      <c r="CQ23" s="51"/>
      <c r="CR23" s="51"/>
      <c r="CS23" s="51"/>
      <c r="CT23" s="51"/>
      <c r="CU23" s="51"/>
      <c r="CV23" s="51"/>
      <c r="CW23" s="51"/>
      <c r="CX23" s="51"/>
      <c r="CY23" s="51"/>
      <c r="CZ23" s="51"/>
      <c r="DA23" s="51"/>
      <c r="DB23" s="51"/>
      <c r="DC23" s="51"/>
      <c r="DD23" s="51"/>
      <c r="DE23" s="51"/>
      <c r="DF23" s="68"/>
    </row>
    <row r="24" spans="1:211" s="49" customFormat="1" ht="22.2" customHeight="1" x14ac:dyDescent="0.4">
      <c r="A24" s="135"/>
      <c r="B24" s="135"/>
      <c r="C24" s="135"/>
      <c r="D24" s="135"/>
      <c r="E24" s="135"/>
      <c r="F24" s="135"/>
      <c r="G24" s="135"/>
      <c r="H24" s="135"/>
      <c r="I24" s="135"/>
      <c r="J24" s="135"/>
      <c r="K24" s="135"/>
      <c r="L24" s="135"/>
      <c r="M24" s="135"/>
      <c r="N24" s="135"/>
      <c r="O24" s="135"/>
      <c r="P24" s="62"/>
      <c r="Q24" s="62"/>
      <c r="R24" s="55"/>
      <c r="S24" s="54"/>
      <c r="T24" s="54"/>
      <c r="U24" s="54"/>
      <c r="V24" s="53"/>
      <c r="W24" s="53"/>
      <c r="X24" s="53"/>
      <c r="Y24" s="53"/>
      <c r="Z24" s="53"/>
      <c r="AA24" s="52"/>
      <c r="AB24" s="63"/>
      <c r="AC24" s="63"/>
      <c r="AD24" s="63"/>
      <c r="AE24" s="52"/>
      <c r="AF24" s="52"/>
      <c r="AG24" s="51"/>
      <c r="AH24" s="51"/>
      <c r="AI24" s="51"/>
      <c r="AJ24" s="51"/>
      <c r="AK24" s="51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51"/>
      <c r="AW24" s="51"/>
      <c r="AX24" s="51"/>
      <c r="AY24" s="51"/>
      <c r="AZ24" s="51"/>
      <c r="BA24" s="51"/>
      <c r="BB24" s="51"/>
      <c r="BC24" s="51"/>
      <c r="BD24" s="51"/>
      <c r="BE24" s="51"/>
      <c r="BF24" s="51"/>
      <c r="BG24" s="51"/>
      <c r="BH24" s="51"/>
      <c r="BI24" s="51"/>
      <c r="BJ24" s="51"/>
      <c r="BK24" s="51"/>
      <c r="BL24" s="51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51"/>
      <c r="CM24" s="51"/>
      <c r="CN24" s="51"/>
      <c r="CO24" s="51"/>
      <c r="CP24" s="51"/>
      <c r="CQ24" s="51"/>
      <c r="CR24" s="51"/>
      <c r="CS24" s="51"/>
      <c r="CT24" s="51"/>
      <c r="CU24" s="51"/>
      <c r="CV24" s="51"/>
      <c r="CW24" s="51"/>
      <c r="CX24" s="51"/>
      <c r="CY24" s="51"/>
      <c r="CZ24" s="51"/>
      <c r="DA24" s="51"/>
      <c r="DB24" s="51"/>
      <c r="DC24" s="51"/>
      <c r="DD24" s="51"/>
      <c r="DE24" s="51"/>
      <c r="DF24" s="51"/>
      <c r="DG24" s="51"/>
      <c r="DH24" s="51"/>
      <c r="DI24" s="51"/>
      <c r="DJ24" s="51"/>
      <c r="DK24" s="51"/>
      <c r="DL24" s="51"/>
      <c r="DM24" s="50"/>
    </row>
    <row r="25" spans="1:211" s="49" customFormat="1" ht="39" customHeight="1" x14ac:dyDescent="0.3">
      <c r="A25" s="136"/>
      <c r="B25" s="136"/>
      <c r="C25" s="136"/>
      <c r="D25" s="136"/>
      <c r="E25" s="136"/>
      <c r="F25" s="136"/>
      <c r="G25" s="136"/>
      <c r="H25" s="136"/>
      <c r="I25" s="136"/>
      <c r="J25" s="136"/>
      <c r="K25" s="136"/>
      <c r="L25" s="136"/>
      <c r="M25" s="136"/>
      <c r="N25" s="136"/>
      <c r="O25" s="136"/>
      <c r="P25" s="61"/>
      <c r="Q25" s="61"/>
      <c r="R25" s="61"/>
      <c r="S25" s="61"/>
      <c r="T25" s="153" t="s">
        <v>37</v>
      </c>
      <c r="U25" s="154"/>
      <c r="V25" s="154"/>
      <c r="W25" s="154"/>
      <c r="X25" s="61"/>
      <c r="Y25" s="61"/>
      <c r="Z25" s="61"/>
      <c r="AA25" s="61"/>
      <c r="AB25" s="155"/>
      <c r="AC25" s="155"/>
      <c r="AD25" s="155"/>
      <c r="AE25" s="61"/>
      <c r="AF25" s="61"/>
      <c r="AG25" s="59"/>
      <c r="AH25" s="59"/>
      <c r="AI25" s="59"/>
      <c r="AJ25" s="59"/>
      <c r="AK25" s="59"/>
      <c r="AL25" s="59"/>
      <c r="AM25" s="59"/>
      <c r="AN25" s="59"/>
      <c r="AO25" s="59"/>
      <c r="AP25" s="59"/>
      <c r="AQ25" s="59"/>
      <c r="AR25" s="59"/>
      <c r="AS25" s="59"/>
      <c r="AT25" s="59"/>
      <c r="AU25" s="59"/>
      <c r="AV25" s="59"/>
      <c r="AW25" s="59"/>
      <c r="AX25" s="59"/>
      <c r="AY25" s="59"/>
      <c r="AZ25" s="59"/>
      <c r="BA25" s="59"/>
      <c r="BB25" s="59"/>
      <c r="BC25" s="59"/>
      <c r="BD25" s="59"/>
      <c r="BE25" s="59"/>
      <c r="BF25" s="59"/>
      <c r="BG25" s="59"/>
      <c r="BH25" s="59"/>
      <c r="BI25" s="59"/>
      <c r="BJ25" s="59"/>
      <c r="BK25" s="59"/>
      <c r="BL25" s="59"/>
      <c r="BM25" s="60"/>
      <c r="BN25" s="60"/>
      <c r="BO25" s="60"/>
      <c r="BP25" s="60"/>
      <c r="BQ25" s="60"/>
      <c r="BR25" s="60"/>
      <c r="BS25" s="60"/>
      <c r="BT25" s="60"/>
      <c r="BU25" s="60"/>
      <c r="BV25" s="60"/>
      <c r="BW25" s="60"/>
      <c r="BX25" s="60"/>
      <c r="BY25" s="60"/>
      <c r="BZ25" s="60"/>
      <c r="CA25" s="60"/>
      <c r="CB25" s="60"/>
      <c r="CC25" s="60"/>
      <c r="CD25" s="60"/>
      <c r="CE25" s="60"/>
      <c r="CF25" s="60"/>
      <c r="CG25" s="60"/>
      <c r="CH25" s="60"/>
      <c r="CI25" s="60"/>
      <c r="CJ25" s="60"/>
      <c r="CK25" s="60"/>
      <c r="CL25" s="59"/>
      <c r="CM25" s="59"/>
      <c r="CN25" s="59"/>
      <c r="CO25" s="59"/>
      <c r="CP25" s="59"/>
      <c r="CQ25" s="59"/>
      <c r="CR25" s="59"/>
      <c r="CS25" s="59"/>
      <c r="CT25" s="59"/>
      <c r="CU25" s="59"/>
      <c r="CV25" s="59"/>
      <c r="CW25" s="59"/>
      <c r="CX25" s="59"/>
      <c r="CY25" s="59"/>
      <c r="CZ25" s="59"/>
      <c r="DA25" s="59"/>
      <c r="DB25" s="59"/>
      <c r="DC25" s="59"/>
      <c r="DD25" s="59"/>
      <c r="DE25" s="59"/>
      <c r="DF25" s="59"/>
      <c r="DG25" s="59"/>
      <c r="DH25" s="59"/>
      <c r="DI25" s="59"/>
      <c r="DJ25" s="59"/>
      <c r="DK25" s="59"/>
      <c r="DL25" s="59"/>
      <c r="DM25" s="58"/>
      <c r="DN25" s="57"/>
      <c r="DO25" s="57"/>
      <c r="DP25" s="56"/>
      <c r="DQ25" s="56"/>
      <c r="DR25" s="56"/>
      <c r="DS25" s="56"/>
      <c r="DT25" s="56"/>
      <c r="DU25" s="56"/>
      <c r="DV25" s="56"/>
      <c r="DW25" s="56"/>
      <c r="DX25" s="56"/>
      <c r="DY25" s="56"/>
      <c r="DZ25" s="56"/>
      <c r="EA25" s="56"/>
      <c r="EB25" s="56"/>
      <c r="EC25" s="56"/>
      <c r="ED25" s="56"/>
      <c r="EE25" s="56"/>
      <c r="EF25" s="56"/>
      <c r="EG25" s="56"/>
      <c r="EH25" s="56"/>
      <c r="EI25" s="56"/>
      <c r="EJ25" s="56"/>
      <c r="EK25" s="56"/>
      <c r="EL25" s="56"/>
      <c r="EM25" s="56"/>
      <c r="EN25" s="56"/>
      <c r="EO25" s="56"/>
      <c r="EP25" s="56"/>
      <c r="EQ25" s="56"/>
      <c r="ER25" s="56"/>
      <c r="ES25" s="56"/>
      <c r="ET25" s="56"/>
      <c r="EU25" s="56"/>
      <c r="EV25" s="56"/>
      <c r="EW25" s="56"/>
      <c r="EX25" s="56"/>
      <c r="EY25" s="56"/>
      <c r="EZ25" s="56"/>
      <c r="FA25" s="56"/>
      <c r="FB25" s="56"/>
      <c r="FC25" s="56"/>
      <c r="FD25" s="56"/>
      <c r="FE25" s="56"/>
      <c r="FF25" s="56"/>
      <c r="FG25" s="56"/>
      <c r="FH25" s="56"/>
      <c r="FI25" s="56"/>
      <c r="FJ25" s="56"/>
      <c r="FK25" s="56"/>
      <c r="FL25" s="56"/>
      <c r="FM25" s="56"/>
      <c r="FN25" s="56"/>
      <c r="FO25" s="56"/>
      <c r="FP25" s="56"/>
      <c r="FQ25" s="56"/>
      <c r="FR25" s="56"/>
      <c r="FS25" s="56"/>
      <c r="FT25" s="56"/>
      <c r="FU25" s="56"/>
      <c r="FV25" s="56"/>
      <c r="FW25" s="56"/>
      <c r="FX25" s="56"/>
      <c r="FY25" s="56"/>
      <c r="FZ25" s="56"/>
      <c r="GA25" s="56"/>
      <c r="GB25" s="56"/>
      <c r="GC25" s="56"/>
      <c r="GD25" s="56"/>
      <c r="GE25" s="56"/>
      <c r="GF25" s="56"/>
      <c r="GG25" s="56"/>
      <c r="GH25" s="56"/>
      <c r="GI25" s="56"/>
      <c r="GJ25" s="56"/>
      <c r="GK25" s="56"/>
      <c r="GL25" s="56"/>
      <c r="GM25" s="56"/>
      <c r="GN25" s="56"/>
      <c r="GO25" s="56"/>
      <c r="GP25" s="56"/>
      <c r="GQ25" s="56"/>
      <c r="GR25" s="56"/>
      <c r="GS25" s="56"/>
      <c r="GT25" s="56"/>
      <c r="GU25" s="56"/>
      <c r="GV25" s="56"/>
      <c r="GW25" s="56"/>
      <c r="GX25" s="56"/>
      <c r="GY25" s="56"/>
      <c r="GZ25" s="56"/>
      <c r="HA25" s="56"/>
      <c r="HB25" s="56"/>
      <c r="HC25" s="56"/>
    </row>
    <row r="26" spans="1:211" s="49" customFormat="1" ht="21.6" customHeight="1" x14ac:dyDescent="0.4">
      <c r="A26" s="171" t="s">
        <v>48</v>
      </c>
      <c r="B26" s="172"/>
      <c r="C26" s="172"/>
      <c r="D26" s="172"/>
      <c r="E26" s="172"/>
      <c r="F26" s="172"/>
      <c r="G26" s="172"/>
      <c r="H26" s="172"/>
      <c r="I26" s="172"/>
      <c r="J26" s="172"/>
      <c r="K26" s="172"/>
      <c r="L26" s="172"/>
      <c r="M26" s="172"/>
      <c r="N26" s="172"/>
      <c r="O26" s="172"/>
      <c r="P26" s="52"/>
      <c r="Q26" s="52"/>
      <c r="R26" s="52"/>
      <c r="S26" s="52"/>
      <c r="T26" s="52"/>
      <c r="U26" s="52"/>
      <c r="V26" s="52"/>
      <c r="W26" s="51"/>
      <c r="X26" s="48"/>
      <c r="Y26" s="48"/>
      <c r="Z26" s="48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51"/>
      <c r="AQ26" s="51"/>
      <c r="AR26" s="51"/>
      <c r="AS26" s="51"/>
      <c r="AT26" s="51"/>
      <c r="AU26" s="51"/>
      <c r="AV26" s="51"/>
      <c r="AW26" s="51"/>
      <c r="AX26" s="51"/>
      <c r="AY26" s="51"/>
      <c r="AZ26" s="51"/>
      <c r="BA26" s="51"/>
      <c r="BB26" s="51"/>
      <c r="BC26" s="51"/>
      <c r="BD26" s="51"/>
      <c r="BE26" s="51"/>
      <c r="BF26" s="51"/>
      <c r="BG26" s="51"/>
      <c r="BH26" s="51"/>
      <c r="BI26" s="51"/>
      <c r="BJ26" s="51"/>
      <c r="BK26" s="51"/>
      <c r="BL26" s="51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51"/>
      <c r="CM26" s="51"/>
      <c r="CN26" s="51"/>
      <c r="CO26" s="51"/>
      <c r="CP26" s="51"/>
      <c r="CQ26" s="51"/>
      <c r="CR26" s="51"/>
      <c r="CS26" s="51"/>
      <c r="CT26" s="51"/>
      <c r="CU26" s="51"/>
      <c r="CV26" s="51"/>
      <c r="CW26" s="51"/>
      <c r="CX26" s="51"/>
      <c r="CY26" s="51"/>
      <c r="CZ26" s="51"/>
      <c r="DA26" s="51"/>
      <c r="DB26" s="51"/>
      <c r="DC26" s="51"/>
      <c r="DD26" s="51"/>
      <c r="DE26" s="51"/>
      <c r="DF26" s="51"/>
      <c r="DG26" s="51"/>
      <c r="DH26" s="51"/>
      <c r="DI26" s="51"/>
      <c r="DJ26" s="51"/>
      <c r="DK26" s="51"/>
      <c r="DL26" s="51"/>
      <c r="DM26" s="50"/>
      <c r="DP26" s="36"/>
      <c r="DQ26" s="36"/>
      <c r="DR26" s="36"/>
      <c r="DS26" s="36"/>
      <c r="DT26" s="36"/>
      <c r="DU26" s="36"/>
      <c r="DV26" s="36"/>
      <c r="DW26" s="36"/>
      <c r="DX26" s="36"/>
      <c r="DY26" s="36"/>
      <c r="DZ26" s="36"/>
      <c r="EA26" s="36"/>
      <c r="EB26" s="36"/>
      <c r="EC26" s="36"/>
      <c r="ED26" s="36"/>
      <c r="EE26" s="36"/>
      <c r="EF26" s="36"/>
      <c r="EG26" s="36"/>
      <c r="EH26" s="36"/>
      <c r="EI26" s="36"/>
      <c r="EJ26" s="36"/>
      <c r="EK26" s="36"/>
      <c r="EL26" s="36"/>
      <c r="EM26" s="36"/>
      <c r="EN26" s="36"/>
      <c r="EO26" s="36"/>
      <c r="EP26" s="36"/>
      <c r="EQ26" s="36"/>
      <c r="ER26" s="36"/>
      <c r="ES26" s="36"/>
      <c r="ET26" s="36"/>
      <c r="EU26" s="36"/>
      <c r="EV26" s="36"/>
      <c r="EW26" s="36"/>
      <c r="EX26" s="36"/>
      <c r="EY26" s="36"/>
      <c r="EZ26" s="36"/>
      <c r="FA26" s="36"/>
      <c r="FB26" s="36"/>
      <c r="FC26" s="36"/>
      <c r="FD26" s="36"/>
      <c r="FE26" s="36"/>
      <c r="FF26" s="36"/>
      <c r="FG26" s="36"/>
      <c r="FH26" s="36"/>
      <c r="FI26" s="36"/>
      <c r="FJ26" s="36"/>
      <c r="FK26" s="36"/>
      <c r="FL26" s="36"/>
      <c r="FM26" s="36"/>
      <c r="FN26" s="36"/>
      <c r="FO26" s="36"/>
      <c r="FP26" s="36"/>
      <c r="FQ26" s="36"/>
      <c r="FR26" s="36"/>
      <c r="FS26" s="36"/>
      <c r="FT26" s="36"/>
      <c r="FU26" s="36"/>
      <c r="FV26" s="36"/>
      <c r="FW26" s="36"/>
      <c r="FX26" s="36"/>
      <c r="FY26" s="36"/>
      <c r="FZ26" s="36"/>
      <c r="GA26" s="36"/>
      <c r="GB26" s="36"/>
      <c r="GC26" s="36"/>
      <c r="GD26" s="36"/>
      <c r="GE26" s="36"/>
      <c r="GF26" s="36"/>
      <c r="GG26" s="36"/>
      <c r="GH26" s="36"/>
      <c r="GI26" s="36"/>
      <c r="GJ26" s="36"/>
      <c r="GK26" s="36"/>
      <c r="GL26" s="36"/>
      <c r="GM26" s="36"/>
      <c r="GN26" s="36"/>
      <c r="GO26" s="36"/>
      <c r="GP26" s="36"/>
      <c r="GQ26" s="36"/>
      <c r="GR26" s="36"/>
      <c r="GS26" s="36"/>
      <c r="GT26" s="36"/>
      <c r="GU26" s="36"/>
      <c r="GV26" s="36"/>
      <c r="GW26" s="36"/>
      <c r="GX26" s="36"/>
      <c r="GY26" s="36"/>
      <c r="GZ26" s="36"/>
      <c r="HA26" s="36"/>
      <c r="HB26" s="36"/>
      <c r="HC26" s="36"/>
    </row>
    <row r="27" spans="1:211" ht="12.6" customHeight="1" x14ac:dyDescent="0.35">
      <c r="P27" s="4"/>
      <c r="Q27" s="4"/>
      <c r="R27" s="4"/>
      <c r="S27" s="5"/>
      <c r="T27" s="4"/>
      <c r="U27" s="4"/>
      <c r="W27" s="4"/>
      <c r="X27" s="48"/>
      <c r="Y27" s="48"/>
      <c r="Z27" s="48"/>
      <c r="AA27" s="48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37"/>
      <c r="DP27" s="39"/>
      <c r="DQ27" s="39"/>
      <c r="DR27" s="39"/>
      <c r="DS27" s="39"/>
      <c r="DT27" s="39"/>
      <c r="DU27" s="39"/>
      <c r="DV27" s="39"/>
      <c r="DW27" s="39"/>
      <c r="DX27" s="39"/>
      <c r="DY27" s="39"/>
      <c r="DZ27" s="39"/>
      <c r="EA27" s="39"/>
      <c r="EB27" s="39"/>
      <c r="EC27" s="39"/>
      <c r="ED27" s="39"/>
      <c r="EE27" s="39"/>
      <c r="EF27" s="39"/>
      <c r="EG27" s="39"/>
      <c r="EH27" s="39"/>
      <c r="EI27" s="39"/>
      <c r="EJ27" s="39"/>
      <c r="EK27" s="39"/>
      <c r="EL27" s="39"/>
      <c r="EM27" s="39"/>
      <c r="EN27" s="39"/>
      <c r="EO27" s="39"/>
      <c r="EP27" s="39"/>
      <c r="EQ27" s="39"/>
      <c r="ER27" s="39"/>
      <c r="ES27" s="39"/>
      <c r="ET27" s="39"/>
      <c r="EU27" s="39"/>
      <c r="EV27" s="39"/>
      <c r="EW27" s="39"/>
      <c r="EX27" s="39"/>
      <c r="EY27" s="39"/>
      <c r="EZ27" s="39"/>
      <c r="FA27" s="39"/>
      <c r="FB27" s="39"/>
      <c r="FC27" s="39"/>
      <c r="FD27" s="39"/>
      <c r="FE27" s="39"/>
      <c r="FF27" s="39"/>
      <c r="FG27" s="39"/>
      <c r="FH27" s="39"/>
      <c r="FI27" s="39"/>
      <c r="FJ27" s="39"/>
      <c r="FK27" s="39"/>
      <c r="FL27" s="39"/>
      <c r="FM27" s="39"/>
      <c r="FN27" s="39"/>
      <c r="FO27" s="39"/>
      <c r="FP27" s="39"/>
      <c r="FQ27" s="39"/>
      <c r="FR27" s="39"/>
      <c r="FS27" s="39"/>
      <c r="FT27" s="39"/>
      <c r="FU27" s="39"/>
      <c r="FV27" s="39"/>
      <c r="FW27" s="39"/>
      <c r="FX27" s="39"/>
      <c r="FY27" s="39"/>
      <c r="FZ27" s="39"/>
      <c r="GA27" s="39"/>
      <c r="GB27" s="39"/>
      <c r="GC27" s="39"/>
      <c r="GD27" s="39"/>
      <c r="GE27" s="39"/>
      <c r="GF27" s="39"/>
      <c r="GG27" s="39"/>
      <c r="GH27" s="39"/>
      <c r="GI27" s="39"/>
      <c r="GJ27" s="39"/>
      <c r="GK27" s="39"/>
      <c r="GL27" s="39"/>
      <c r="GM27" s="39"/>
      <c r="GN27" s="39"/>
      <c r="GO27" s="39"/>
      <c r="GP27" s="39"/>
      <c r="GQ27" s="39"/>
      <c r="GR27" s="39"/>
      <c r="GS27" s="39"/>
      <c r="GT27" s="39"/>
      <c r="GU27" s="39"/>
      <c r="GV27" s="39"/>
      <c r="GW27" s="39"/>
      <c r="GX27" s="39"/>
      <c r="GY27" s="39"/>
      <c r="GZ27" s="39"/>
      <c r="HA27" s="39"/>
      <c r="HB27" s="39"/>
      <c r="HC27" s="39"/>
    </row>
    <row r="28" spans="1:211" ht="32.4" customHeight="1" x14ac:dyDescent="0.4">
      <c r="A28" s="159" t="s">
        <v>38</v>
      </c>
      <c r="B28" s="150" t="s">
        <v>39</v>
      </c>
      <c r="C28" s="150">
        <f>L2</f>
        <v>46007</v>
      </c>
      <c r="D28" s="151" t="s">
        <v>40</v>
      </c>
      <c r="E28" s="151" t="s">
        <v>41</v>
      </c>
      <c r="F28" s="151" t="s">
        <v>40</v>
      </c>
      <c r="G28" s="148"/>
      <c r="H28" s="49"/>
      <c r="I28" s="162" t="s">
        <v>49</v>
      </c>
      <c r="J28" s="162"/>
      <c r="K28" s="137" t="s">
        <v>39</v>
      </c>
      <c r="L28" s="152">
        <f>L2</f>
        <v>46007</v>
      </c>
      <c r="M28" s="137" t="s">
        <v>40</v>
      </c>
      <c r="N28" s="137" t="s">
        <v>42</v>
      </c>
      <c r="O28" s="137" t="s">
        <v>40</v>
      </c>
      <c r="P28" s="4"/>
      <c r="Q28" s="4"/>
      <c r="R28" s="4"/>
      <c r="S28" s="5"/>
      <c r="T28" s="46"/>
      <c r="U28" s="46"/>
      <c r="V28" s="25"/>
      <c r="W28" s="38"/>
      <c r="X28" s="48"/>
      <c r="Y28" s="48"/>
      <c r="Z28" s="48"/>
      <c r="AA28" s="42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37"/>
      <c r="DN28" s="36"/>
      <c r="DO28" s="36"/>
      <c r="DP28" s="36"/>
      <c r="DQ28" s="36"/>
      <c r="DR28" s="36"/>
      <c r="DS28" s="36"/>
      <c r="DT28" s="36"/>
      <c r="DU28" s="36"/>
      <c r="DV28" s="36"/>
      <c r="DW28" s="36"/>
      <c r="DX28" s="36"/>
      <c r="DY28" s="36"/>
      <c r="DZ28" s="36"/>
      <c r="EA28" s="36"/>
      <c r="EB28" s="36"/>
      <c r="EC28" s="36"/>
      <c r="ED28" s="36"/>
      <c r="EE28" s="36"/>
      <c r="EF28" s="36"/>
      <c r="EG28" s="36"/>
      <c r="EH28" s="36"/>
      <c r="EI28" s="36"/>
      <c r="EJ28" s="36"/>
      <c r="EK28" s="36"/>
      <c r="EL28" s="36"/>
      <c r="EM28" s="36"/>
      <c r="EN28" s="36"/>
      <c r="EO28" s="36"/>
      <c r="EP28" s="36"/>
      <c r="EQ28" s="36"/>
      <c r="ER28" s="36"/>
      <c r="ES28" s="36"/>
      <c r="ET28" s="36"/>
      <c r="EU28" s="36"/>
      <c r="EV28" s="36"/>
      <c r="EW28" s="36"/>
      <c r="EX28" s="36"/>
      <c r="EY28" s="36"/>
      <c r="EZ28" s="36"/>
      <c r="FA28" s="36"/>
      <c r="FB28" s="36"/>
      <c r="FC28" s="36"/>
      <c r="FD28" s="36"/>
      <c r="FE28" s="36"/>
      <c r="FF28" s="36"/>
      <c r="FG28" s="36"/>
      <c r="FH28" s="36"/>
      <c r="FI28" s="36"/>
      <c r="FJ28" s="36"/>
      <c r="FK28" s="36"/>
      <c r="FL28" s="36"/>
      <c r="FM28" s="36"/>
      <c r="FN28" s="36"/>
      <c r="FO28" s="36"/>
      <c r="FP28" s="36"/>
      <c r="FQ28" s="36"/>
      <c r="FR28" s="36"/>
      <c r="FS28" s="36"/>
      <c r="FT28" s="36"/>
      <c r="FU28" s="36"/>
      <c r="FV28" s="36"/>
      <c r="FW28" s="36"/>
      <c r="FX28" s="36"/>
      <c r="FY28" s="36"/>
      <c r="FZ28" s="36"/>
      <c r="GA28" s="36"/>
      <c r="GB28" s="36"/>
      <c r="GC28" s="36"/>
      <c r="GD28" s="36"/>
      <c r="GE28" s="36"/>
      <c r="GF28" s="36"/>
      <c r="GG28" s="36"/>
      <c r="GH28" s="36"/>
      <c r="GI28" s="36"/>
      <c r="GJ28" s="36"/>
      <c r="GK28" s="36"/>
      <c r="GL28" s="36"/>
      <c r="GM28" s="36"/>
      <c r="GN28" s="36"/>
      <c r="GO28" s="36"/>
      <c r="GP28" s="36"/>
      <c r="GQ28" s="36"/>
      <c r="GR28" s="36"/>
      <c r="GS28" s="36"/>
      <c r="GT28" s="36"/>
      <c r="GU28" s="36"/>
      <c r="GV28" s="36"/>
      <c r="GW28" s="36"/>
      <c r="GX28" s="36"/>
      <c r="GY28" s="36"/>
      <c r="GZ28" s="36"/>
      <c r="HA28" s="36"/>
      <c r="HB28" s="36"/>
      <c r="HC28" s="36"/>
    </row>
    <row r="29" spans="1:211" ht="21" x14ac:dyDescent="0.4">
      <c r="A29" s="160"/>
      <c r="B29" s="138">
        <v>21.65</v>
      </c>
      <c r="C29" s="138">
        <v>17.490000000000002</v>
      </c>
      <c r="D29" s="139">
        <v>-4.1599999999999966</v>
      </c>
      <c r="E29" s="138">
        <v>411</v>
      </c>
      <c r="F29" s="139">
        <v>-393.51</v>
      </c>
      <c r="G29" s="148"/>
      <c r="H29" s="49"/>
      <c r="I29" s="163"/>
      <c r="J29" s="163"/>
      <c r="K29" s="140">
        <v>861.76</v>
      </c>
      <c r="L29" s="140">
        <v>858.71</v>
      </c>
      <c r="M29" s="141">
        <f>L29-K29</f>
        <v>-3.0499999999999545</v>
      </c>
      <c r="N29" s="142">
        <v>878.2</v>
      </c>
      <c r="O29" s="141">
        <f>L29-N29</f>
        <v>-19.490000000000009</v>
      </c>
      <c r="P29" s="4"/>
      <c r="Q29" s="4"/>
      <c r="R29" s="47"/>
      <c r="S29" s="5"/>
      <c r="T29" s="46"/>
      <c r="U29" s="46"/>
      <c r="W29" s="38"/>
      <c r="X29" s="41"/>
      <c r="Y29" s="41"/>
      <c r="Z29" s="41"/>
      <c r="AA29" s="42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37"/>
      <c r="DN29" s="40"/>
      <c r="DO29" s="40"/>
      <c r="DP29" s="40"/>
      <c r="DQ29" s="40"/>
      <c r="DR29" s="40"/>
      <c r="DS29" s="40"/>
      <c r="DT29" s="40"/>
      <c r="DU29" s="40"/>
      <c r="DV29" s="40"/>
      <c r="DW29" s="40"/>
      <c r="DX29" s="40"/>
      <c r="DY29" s="40"/>
      <c r="DZ29" s="40"/>
      <c r="EA29" s="40"/>
      <c r="EB29" s="40"/>
      <c r="EC29" s="40"/>
      <c r="ED29" s="40"/>
      <c r="EE29" s="40"/>
      <c r="EF29" s="40"/>
      <c r="EG29" s="40"/>
      <c r="EH29" s="40"/>
      <c r="EI29" s="40"/>
      <c r="EJ29" s="40"/>
      <c r="EK29" s="40"/>
      <c r="EL29" s="40"/>
      <c r="EM29" s="40"/>
      <c r="EN29" s="40"/>
      <c r="EO29" s="40"/>
      <c r="EP29" s="40"/>
      <c r="EQ29" s="40"/>
      <c r="ER29" s="40"/>
      <c r="ES29" s="40"/>
      <c r="ET29" s="40"/>
      <c r="EU29" s="40"/>
      <c r="EV29" s="40"/>
      <c r="EW29" s="40"/>
      <c r="EX29" s="40"/>
      <c r="EY29" s="40"/>
      <c r="EZ29" s="40"/>
      <c r="FA29" s="40"/>
      <c r="FB29" s="40"/>
      <c r="FC29" s="40"/>
      <c r="FD29" s="40"/>
      <c r="FE29" s="40"/>
      <c r="FF29" s="40"/>
      <c r="FG29" s="40"/>
      <c r="FH29" s="40"/>
      <c r="FI29" s="40"/>
      <c r="FJ29" s="40"/>
      <c r="FK29" s="40"/>
      <c r="FL29" s="40"/>
      <c r="FM29" s="40"/>
      <c r="FN29" s="40"/>
      <c r="FO29" s="40"/>
      <c r="FP29" s="40"/>
      <c r="FQ29" s="40"/>
      <c r="FR29" s="40"/>
      <c r="FS29" s="40"/>
      <c r="FT29" s="40"/>
      <c r="FU29" s="40"/>
      <c r="FV29" s="40"/>
      <c r="FW29" s="39"/>
      <c r="FX29" s="39"/>
      <c r="FY29" s="39"/>
      <c r="FZ29" s="39"/>
      <c r="GA29" s="39"/>
      <c r="GB29" s="39"/>
      <c r="GC29" s="39"/>
      <c r="GD29" s="39"/>
      <c r="GE29" s="39"/>
      <c r="GF29" s="39"/>
      <c r="GG29" s="39"/>
      <c r="GH29" s="39"/>
      <c r="GI29" s="39"/>
      <c r="GJ29" s="39"/>
      <c r="GK29" s="39"/>
      <c r="GL29" s="39"/>
      <c r="GM29" s="39"/>
      <c r="GN29" s="39"/>
      <c r="GO29" s="39"/>
      <c r="GP29" s="39"/>
      <c r="GQ29" s="39"/>
      <c r="GR29" s="39"/>
      <c r="GS29" s="39"/>
      <c r="GT29" s="39"/>
      <c r="GU29" s="39"/>
      <c r="GV29" s="39"/>
      <c r="GW29" s="39"/>
      <c r="GX29" s="39"/>
      <c r="GY29" s="39"/>
      <c r="GZ29" s="39"/>
      <c r="HA29" s="39"/>
      <c r="HB29" s="39"/>
      <c r="HC29" s="39"/>
    </row>
    <row r="30" spans="1:211" ht="21" x14ac:dyDescent="0.4">
      <c r="A30" s="146"/>
      <c r="B30" s="140">
        <v>0.82</v>
      </c>
      <c r="C30" s="140">
        <v>0.82</v>
      </c>
      <c r="D30" s="143">
        <f>C30-B30</f>
        <v>0</v>
      </c>
      <c r="E30" s="140">
        <v>11</v>
      </c>
      <c r="F30" s="141">
        <f>C30-E30</f>
        <v>-10.18</v>
      </c>
      <c r="G30" s="148"/>
      <c r="H30" s="49"/>
      <c r="I30" s="164" t="s">
        <v>43</v>
      </c>
      <c r="J30" s="164"/>
      <c r="K30" s="144">
        <v>242</v>
      </c>
      <c r="L30" s="161" t="s">
        <v>44</v>
      </c>
      <c r="M30" s="161"/>
      <c r="N30" s="161"/>
      <c r="O30" s="161"/>
      <c r="P30" s="4"/>
      <c r="Q30" s="4"/>
      <c r="R30" s="4"/>
      <c r="S30" s="5"/>
      <c r="T30" s="4"/>
      <c r="U30" s="4"/>
      <c r="W30" s="38"/>
      <c r="X30" s="41"/>
      <c r="Y30" s="41"/>
      <c r="Z30" s="41"/>
      <c r="AA30" s="42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37"/>
      <c r="DN30" s="45"/>
      <c r="DO30" s="45"/>
      <c r="DP30" s="45"/>
      <c r="DQ30" s="45"/>
      <c r="DR30" s="45"/>
      <c r="DS30" s="45"/>
      <c r="DT30" s="45"/>
      <c r="DU30" s="45"/>
      <c r="DV30" s="45"/>
      <c r="DW30" s="45"/>
      <c r="DX30" s="45"/>
      <c r="DY30" s="45"/>
      <c r="DZ30" s="45"/>
      <c r="EA30" s="45"/>
      <c r="EB30" s="45"/>
      <c r="EC30" s="45"/>
      <c r="ED30" s="45"/>
      <c r="EE30" s="45"/>
      <c r="EF30" s="45"/>
      <c r="EG30" s="45"/>
      <c r="EH30" s="45"/>
      <c r="EI30" s="45"/>
      <c r="EJ30" s="45"/>
      <c r="EK30" s="45"/>
      <c r="EL30" s="45"/>
      <c r="EM30" s="45"/>
      <c r="EN30" s="45"/>
      <c r="EO30" s="45"/>
      <c r="EP30" s="45"/>
      <c r="EQ30" s="45"/>
      <c r="ER30" s="45"/>
      <c r="ES30" s="45"/>
      <c r="ET30" s="45"/>
      <c r="EU30" s="45"/>
      <c r="EV30" s="45"/>
      <c r="EW30" s="45"/>
      <c r="EX30" s="45"/>
      <c r="EY30" s="45"/>
      <c r="EZ30" s="45"/>
      <c r="FA30" s="45"/>
      <c r="FB30" s="45"/>
      <c r="FC30" s="45"/>
      <c r="FD30" s="45"/>
      <c r="FE30" s="45"/>
      <c r="FF30" s="45"/>
      <c r="FG30" s="45"/>
      <c r="FH30" s="45"/>
      <c r="FI30" s="45"/>
      <c r="FJ30" s="45"/>
      <c r="FK30" s="45"/>
      <c r="FL30" s="45"/>
      <c r="FM30" s="45"/>
      <c r="FN30" s="45"/>
      <c r="FO30" s="45"/>
      <c r="FP30" s="45"/>
      <c r="FQ30" s="45"/>
      <c r="FR30" s="45"/>
      <c r="FS30" s="45"/>
      <c r="FT30" s="45"/>
      <c r="FU30" s="45"/>
      <c r="FV30" s="45"/>
      <c r="FW30" s="45"/>
      <c r="FX30" s="45"/>
      <c r="FY30" s="45"/>
      <c r="FZ30" s="45"/>
      <c r="GA30" s="45"/>
      <c r="GB30" s="45"/>
      <c r="GC30" s="45"/>
      <c r="GD30" s="39"/>
      <c r="GE30" s="39"/>
      <c r="GF30" s="39"/>
      <c r="GG30" s="39"/>
      <c r="GH30" s="39"/>
      <c r="GI30" s="39"/>
      <c r="GJ30" s="39"/>
      <c r="GK30" s="39"/>
      <c r="GL30" s="39"/>
      <c r="GM30" s="39"/>
      <c r="GN30" s="39"/>
      <c r="GO30" s="39"/>
      <c r="GP30" s="39"/>
      <c r="GQ30" s="39"/>
      <c r="GR30" s="39"/>
      <c r="GS30" s="39"/>
      <c r="GT30" s="39"/>
      <c r="GU30" s="39"/>
      <c r="GV30" s="39"/>
      <c r="GW30" s="39"/>
      <c r="GX30" s="39"/>
      <c r="GY30" s="39"/>
      <c r="GZ30" s="39"/>
      <c r="HA30" s="39"/>
      <c r="HB30" s="39"/>
      <c r="HC30" s="39"/>
    </row>
    <row r="31" spans="1:211" ht="40.799999999999997" customHeight="1" x14ac:dyDescent="0.4">
      <c r="A31" s="149"/>
      <c r="B31" s="149"/>
      <c r="C31" s="149"/>
      <c r="D31" s="149"/>
      <c r="E31" s="149"/>
      <c r="F31" s="149"/>
      <c r="G31" s="148"/>
      <c r="H31" s="49"/>
      <c r="I31" s="165" t="s">
        <v>45</v>
      </c>
      <c r="J31" s="165"/>
      <c r="K31" s="147">
        <v>122</v>
      </c>
      <c r="L31" s="161"/>
      <c r="M31" s="161"/>
      <c r="N31" s="161"/>
      <c r="O31" s="161"/>
      <c r="P31" s="31"/>
      <c r="Q31" s="31"/>
      <c r="R31" s="31"/>
      <c r="S31" s="31"/>
      <c r="T31" s="31"/>
      <c r="U31" s="31"/>
      <c r="W31" s="38"/>
      <c r="X31" s="41"/>
      <c r="Y31" s="41"/>
      <c r="Z31" s="41"/>
      <c r="AA31" s="41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37"/>
      <c r="DN31" s="40"/>
      <c r="DO31" s="40"/>
      <c r="DP31" s="40"/>
      <c r="DQ31" s="40"/>
      <c r="DR31" s="40"/>
      <c r="DS31" s="40"/>
      <c r="DT31" s="40"/>
      <c r="DU31" s="40"/>
      <c r="DV31" s="40"/>
      <c r="DW31" s="40"/>
      <c r="DX31" s="40"/>
      <c r="DY31" s="40"/>
      <c r="DZ31" s="40"/>
      <c r="EA31" s="40"/>
      <c r="EB31" s="40"/>
      <c r="EC31" s="40"/>
      <c r="ED31" s="40"/>
      <c r="EE31" s="40"/>
      <c r="EF31" s="40"/>
      <c r="EG31" s="40"/>
      <c r="EH31" s="40"/>
      <c r="EI31" s="40"/>
      <c r="EJ31" s="40"/>
      <c r="EK31" s="40"/>
      <c r="EL31" s="40"/>
      <c r="EM31" s="40"/>
      <c r="EN31" s="40"/>
      <c r="EO31" s="40"/>
      <c r="EP31" s="40"/>
      <c r="EQ31" s="40"/>
      <c r="ER31" s="40"/>
      <c r="ES31" s="40"/>
      <c r="ET31" s="40"/>
      <c r="EU31" s="40"/>
      <c r="EV31" s="40"/>
      <c r="EW31" s="40"/>
      <c r="EX31" s="40"/>
      <c r="EY31" s="40"/>
      <c r="EZ31" s="40"/>
      <c r="FA31" s="40"/>
      <c r="FB31" s="40"/>
      <c r="FC31" s="40"/>
      <c r="FD31" s="40"/>
      <c r="FE31" s="40"/>
      <c r="FF31" s="40"/>
      <c r="FG31" s="40"/>
      <c r="FH31" s="40"/>
      <c r="FI31" s="40"/>
      <c r="FJ31" s="40"/>
      <c r="FK31" s="40"/>
      <c r="FL31" s="40"/>
      <c r="FM31" s="40"/>
      <c r="FN31" s="40"/>
      <c r="FO31" s="40"/>
      <c r="FP31" s="40"/>
      <c r="FQ31" s="40"/>
      <c r="FR31" s="40"/>
      <c r="FS31" s="40"/>
      <c r="FT31" s="40"/>
      <c r="FU31" s="40"/>
      <c r="FV31" s="40"/>
      <c r="FW31" s="39"/>
      <c r="FX31" s="39"/>
      <c r="FY31" s="39"/>
      <c r="FZ31" s="39"/>
      <c r="GA31" s="39"/>
      <c r="GB31" s="39"/>
      <c r="GC31" s="39"/>
      <c r="GD31" s="39"/>
      <c r="GE31" s="39"/>
      <c r="GF31" s="39"/>
      <c r="GG31" s="39"/>
      <c r="GH31" s="39"/>
      <c r="GI31" s="39"/>
      <c r="GJ31" s="39"/>
      <c r="GK31" s="39"/>
      <c r="GL31" s="39"/>
      <c r="GM31" s="39"/>
      <c r="GN31" s="39"/>
      <c r="GO31" s="39"/>
      <c r="GP31" s="39"/>
      <c r="GQ31" s="39"/>
      <c r="GR31" s="39"/>
      <c r="GS31" s="39"/>
      <c r="GT31" s="39"/>
      <c r="GU31" s="39"/>
      <c r="GV31" s="39"/>
      <c r="GW31" s="39"/>
      <c r="GX31" s="39"/>
      <c r="GY31" s="39"/>
      <c r="GZ31" s="39"/>
      <c r="HA31" s="39"/>
      <c r="HB31" s="39"/>
      <c r="HC31" s="39"/>
    </row>
    <row r="32" spans="1:211" s="25" customFormat="1" ht="21" x14ac:dyDescent="0.4">
      <c r="A32" s="149"/>
      <c r="B32" s="149"/>
      <c r="C32" s="149"/>
      <c r="D32" s="149"/>
      <c r="E32" s="149"/>
      <c r="F32" s="149"/>
      <c r="G32" s="148"/>
      <c r="H32" s="145"/>
      <c r="I32" s="165" t="s">
        <v>46</v>
      </c>
      <c r="J32" s="165"/>
      <c r="K32" s="147">
        <v>120</v>
      </c>
      <c r="L32" s="161"/>
      <c r="M32" s="161"/>
      <c r="N32" s="161"/>
      <c r="O32" s="161"/>
      <c r="P32" s="32"/>
      <c r="Q32" s="32"/>
      <c r="R32" s="32"/>
      <c r="S32" s="32"/>
      <c r="T32" s="29"/>
      <c r="U32" s="29"/>
      <c r="V32" s="1"/>
      <c r="W32" s="38"/>
      <c r="X32" s="41"/>
      <c r="Y32" s="41"/>
      <c r="Z32" s="41"/>
      <c r="AA32" s="42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6"/>
      <c r="CK32" s="26"/>
      <c r="CL32" s="26"/>
      <c r="CM32" s="26"/>
      <c r="CN32" s="26"/>
      <c r="CO32" s="26"/>
      <c r="CP32" s="26"/>
      <c r="CQ32" s="26"/>
      <c r="CR32" s="26"/>
      <c r="CS32" s="26"/>
      <c r="CT32" s="26"/>
      <c r="CU32" s="26"/>
      <c r="CV32" s="26"/>
      <c r="CW32" s="26"/>
      <c r="CX32" s="26"/>
      <c r="CY32" s="26"/>
      <c r="CZ32" s="26"/>
      <c r="DA32" s="26"/>
      <c r="DB32" s="26"/>
      <c r="DC32" s="26"/>
      <c r="DD32" s="26"/>
      <c r="DE32" s="26"/>
      <c r="DF32" s="26"/>
      <c r="DG32" s="26"/>
      <c r="DH32" s="26"/>
      <c r="DI32" s="26"/>
      <c r="DJ32" s="26"/>
      <c r="DK32" s="37"/>
      <c r="DN32" s="36"/>
      <c r="DO32" s="36"/>
      <c r="DP32" s="36"/>
      <c r="DQ32" s="36"/>
      <c r="DR32" s="36"/>
      <c r="DS32" s="36"/>
      <c r="DT32" s="36"/>
      <c r="DU32" s="36"/>
      <c r="DV32" s="36"/>
      <c r="DW32" s="36"/>
      <c r="DX32" s="36"/>
      <c r="DY32" s="36"/>
      <c r="DZ32" s="36"/>
      <c r="EA32" s="36"/>
      <c r="EB32" s="36"/>
      <c r="EC32" s="36"/>
      <c r="ED32" s="36"/>
      <c r="EE32" s="36"/>
      <c r="EF32" s="36"/>
      <c r="EG32" s="36"/>
      <c r="EH32" s="36"/>
      <c r="EI32" s="36"/>
      <c r="EJ32" s="36"/>
      <c r="EK32" s="36"/>
      <c r="EL32" s="36"/>
      <c r="EM32" s="36"/>
      <c r="EN32" s="36"/>
      <c r="EO32" s="36"/>
      <c r="EP32" s="36"/>
      <c r="EQ32" s="36"/>
      <c r="ER32" s="36"/>
      <c r="ES32" s="36"/>
      <c r="ET32" s="36"/>
      <c r="EU32" s="36"/>
      <c r="EV32" s="36"/>
      <c r="EW32" s="36"/>
      <c r="EX32" s="36"/>
      <c r="EY32" s="36"/>
      <c r="EZ32" s="36"/>
      <c r="FA32" s="36"/>
      <c r="FB32" s="36"/>
      <c r="FC32" s="36"/>
      <c r="FD32" s="36"/>
      <c r="FE32" s="36"/>
      <c r="FF32" s="36"/>
      <c r="FG32" s="36"/>
      <c r="FH32" s="36"/>
      <c r="FI32" s="36"/>
      <c r="FJ32" s="36"/>
      <c r="FK32" s="36"/>
      <c r="FL32" s="36"/>
      <c r="FM32" s="36"/>
      <c r="FN32" s="36"/>
      <c r="FO32" s="36"/>
      <c r="FP32" s="36"/>
      <c r="FQ32" s="36"/>
      <c r="FR32" s="36"/>
      <c r="FS32" s="36"/>
      <c r="FT32" s="36"/>
      <c r="FU32" s="36"/>
      <c r="FV32" s="36"/>
      <c r="FW32" s="36"/>
      <c r="FX32" s="36"/>
      <c r="FY32" s="36"/>
      <c r="FZ32" s="36"/>
      <c r="GA32" s="36"/>
      <c r="GB32" s="36"/>
      <c r="GC32" s="36"/>
      <c r="GD32" s="36"/>
      <c r="GE32" s="36"/>
      <c r="GF32" s="36"/>
      <c r="GG32" s="36"/>
      <c r="GH32" s="36"/>
      <c r="GI32" s="36"/>
      <c r="GJ32" s="36"/>
      <c r="GK32" s="36"/>
      <c r="GL32" s="36"/>
      <c r="GM32" s="36"/>
      <c r="GN32" s="36"/>
      <c r="GO32" s="36"/>
      <c r="GP32" s="36"/>
      <c r="GQ32" s="36"/>
      <c r="GR32" s="36"/>
      <c r="GS32" s="36"/>
      <c r="GT32" s="36"/>
      <c r="GU32" s="36"/>
      <c r="GV32" s="36"/>
      <c r="GW32" s="36"/>
      <c r="GX32" s="36"/>
      <c r="GY32" s="36"/>
      <c r="GZ32" s="36"/>
      <c r="HA32" s="36"/>
      <c r="HB32" s="36"/>
      <c r="HC32" s="36"/>
    </row>
    <row r="33" spans="1:211" ht="21" x14ac:dyDescent="0.4">
      <c r="A33" s="149"/>
      <c r="B33" s="149"/>
      <c r="C33" s="149"/>
      <c r="D33" s="149"/>
      <c r="E33" s="149"/>
      <c r="F33" s="149"/>
      <c r="G33" s="136"/>
      <c r="H33" s="136"/>
      <c r="I33" s="136"/>
      <c r="J33" s="136"/>
      <c r="K33" s="136"/>
      <c r="L33" s="136"/>
      <c r="M33" s="136"/>
      <c r="N33" s="136"/>
      <c r="O33" s="136"/>
      <c r="P33" s="31"/>
      <c r="Q33" s="31"/>
      <c r="R33" s="31"/>
      <c r="S33" s="31"/>
      <c r="T33" s="31"/>
      <c r="U33" s="31"/>
      <c r="W33" s="38"/>
      <c r="X33" s="41"/>
      <c r="Y33" s="41"/>
      <c r="Z33" s="41"/>
      <c r="AA33" s="41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37"/>
      <c r="DN33" s="40"/>
      <c r="DO33" s="40"/>
      <c r="DP33" s="40"/>
      <c r="DQ33" s="40"/>
      <c r="DR33" s="40"/>
      <c r="DS33" s="40"/>
      <c r="DT33" s="40"/>
      <c r="DU33" s="40"/>
      <c r="DV33" s="40"/>
      <c r="DW33" s="40"/>
      <c r="DX33" s="40"/>
      <c r="DY33" s="40"/>
      <c r="DZ33" s="40"/>
      <c r="EA33" s="40"/>
      <c r="EB33" s="40"/>
      <c r="EC33" s="40"/>
      <c r="ED33" s="40"/>
      <c r="EE33" s="40"/>
      <c r="EF33" s="40"/>
      <c r="EG33" s="40"/>
      <c r="EH33" s="40"/>
      <c r="EI33" s="40"/>
      <c r="EJ33" s="40"/>
      <c r="EK33" s="40"/>
      <c r="EL33" s="40"/>
      <c r="EM33" s="40"/>
      <c r="EN33" s="40"/>
      <c r="EO33" s="40"/>
      <c r="EP33" s="40"/>
      <c r="EQ33" s="40"/>
      <c r="ER33" s="40"/>
      <c r="ES33" s="40"/>
      <c r="ET33" s="40"/>
      <c r="EU33" s="40"/>
      <c r="EV33" s="40"/>
      <c r="EW33" s="40"/>
      <c r="EX33" s="40"/>
      <c r="EY33" s="40"/>
      <c r="EZ33" s="40"/>
      <c r="FA33" s="40"/>
      <c r="FB33" s="40"/>
      <c r="FC33" s="40"/>
      <c r="FD33" s="40"/>
      <c r="FE33" s="40"/>
      <c r="FF33" s="40"/>
      <c r="FG33" s="40"/>
      <c r="FH33" s="40"/>
      <c r="FI33" s="40"/>
      <c r="FJ33" s="40"/>
      <c r="FK33" s="40"/>
      <c r="FL33" s="40"/>
      <c r="FM33" s="40"/>
      <c r="FN33" s="40"/>
      <c r="FO33" s="40"/>
      <c r="FP33" s="40"/>
      <c r="FQ33" s="40"/>
      <c r="FR33" s="40"/>
      <c r="FS33" s="40"/>
      <c r="FT33" s="40"/>
      <c r="FU33" s="40"/>
      <c r="FV33" s="40"/>
      <c r="FW33" s="39"/>
      <c r="FX33" s="39"/>
      <c r="FY33" s="39"/>
      <c r="FZ33" s="39"/>
      <c r="GA33" s="39"/>
      <c r="GB33" s="39"/>
      <c r="GC33" s="39"/>
      <c r="GD33" s="39"/>
      <c r="GE33" s="39"/>
      <c r="GF33" s="39"/>
      <c r="GG33" s="39"/>
      <c r="GH33" s="39"/>
      <c r="GI33" s="39"/>
      <c r="GJ33" s="39"/>
      <c r="GK33" s="39"/>
      <c r="GL33" s="39"/>
      <c r="GM33" s="39"/>
      <c r="GN33" s="39"/>
      <c r="GO33" s="39"/>
      <c r="GP33" s="39"/>
      <c r="GQ33" s="39"/>
      <c r="GR33" s="39"/>
      <c r="GS33" s="39"/>
      <c r="GT33" s="39"/>
      <c r="GU33" s="39"/>
      <c r="GV33" s="39"/>
      <c r="GW33" s="39"/>
      <c r="GX33" s="39"/>
      <c r="GY33" s="39"/>
      <c r="GZ33" s="39"/>
      <c r="HA33" s="39"/>
      <c r="HB33" s="39"/>
      <c r="HC33" s="39"/>
    </row>
    <row r="34" spans="1:211" s="25" customFormat="1" ht="41.4" customHeight="1" x14ac:dyDescent="0.3">
      <c r="A34" s="61"/>
      <c r="B34" s="61"/>
      <c r="C34" s="153" t="s">
        <v>47</v>
      </c>
      <c r="D34" s="154"/>
      <c r="E34" s="154"/>
      <c r="F34" s="154"/>
      <c r="H34" s="61"/>
      <c r="I34" s="61"/>
      <c r="J34" s="61"/>
      <c r="K34" s="61"/>
      <c r="L34" s="155"/>
      <c r="M34" s="155"/>
      <c r="N34" s="155"/>
      <c r="O34" s="61"/>
      <c r="P34" s="61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  <c r="AN34" s="59"/>
      <c r="AO34" s="59"/>
      <c r="AP34" s="59"/>
      <c r="AQ34" s="59"/>
      <c r="AR34" s="59"/>
      <c r="AS34" s="59"/>
      <c r="AT34" s="59"/>
      <c r="AU34" s="59"/>
      <c r="AV34" s="59"/>
      <c r="AW34" s="60"/>
      <c r="AX34" s="60"/>
      <c r="AY34" s="60"/>
      <c r="AZ34" s="60"/>
      <c r="BA34" s="60"/>
      <c r="BB34" s="60"/>
      <c r="BC34" s="60"/>
      <c r="BD34" s="60"/>
      <c r="BE34" s="60"/>
      <c r="BF34" s="60"/>
      <c r="BG34" s="60"/>
      <c r="BH34" s="60"/>
      <c r="BI34" s="60"/>
      <c r="BJ34" s="60"/>
      <c r="BK34" s="60"/>
      <c r="BL34" s="60"/>
      <c r="BM34" s="60"/>
      <c r="BN34" s="60"/>
      <c r="BO34" s="60"/>
      <c r="BP34" s="60"/>
      <c r="BQ34" s="60"/>
      <c r="BR34" s="60"/>
      <c r="BS34" s="60"/>
      <c r="BT34" s="60"/>
      <c r="BU34" s="60"/>
      <c r="BV34" s="59"/>
      <c r="BW34" s="59"/>
      <c r="BX34" s="59"/>
      <c r="BY34" s="59"/>
      <c r="BZ34" s="59"/>
      <c r="CA34" s="59"/>
      <c r="CB34" s="59"/>
      <c r="CC34" s="59"/>
      <c r="CD34" s="59"/>
      <c r="CE34" s="59"/>
      <c r="CF34" s="59"/>
      <c r="CG34" s="59"/>
      <c r="CH34" s="59"/>
      <c r="CI34" s="59"/>
      <c r="CJ34" s="59"/>
      <c r="CK34" s="59"/>
      <c r="CL34" s="59"/>
      <c r="CM34" s="59"/>
      <c r="CN34" s="59"/>
      <c r="CO34" s="59"/>
      <c r="CP34" s="59"/>
      <c r="CQ34" s="59"/>
      <c r="CR34" s="59"/>
      <c r="CS34" s="59"/>
      <c r="CT34" s="59"/>
      <c r="CU34" s="59"/>
      <c r="CV34" s="59"/>
      <c r="CW34" s="58"/>
      <c r="CX34" s="57"/>
      <c r="CY34" s="57"/>
      <c r="CZ34" s="56"/>
      <c r="DA34" s="56"/>
      <c r="DB34" s="56"/>
      <c r="DC34" s="56"/>
      <c r="DD34" s="56"/>
      <c r="DE34" s="56"/>
      <c r="DF34" s="56"/>
      <c r="DG34" s="56"/>
      <c r="DH34" s="56"/>
      <c r="DI34" s="56"/>
      <c r="DJ34" s="56"/>
      <c r="DK34" s="56"/>
      <c r="DL34" s="56"/>
      <c r="DM34" s="56"/>
      <c r="DN34" s="56"/>
      <c r="DO34" s="56"/>
      <c r="DP34" s="56"/>
      <c r="DQ34" s="56"/>
      <c r="DR34" s="56"/>
      <c r="DS34" s="56"/>
      <c r="DT34" s="56"/>
      <c r="DU34" s="56"/>
      <c r="DV34" s="56"/>
      <c r="DW34" s="56"/>
      <c r="DX34" s="56"/>
      <c r="DY34" s="56"/>
      <c r="DZ34" s="56"/>
      <c r="EA34" s="56"/>
      <c r="EB34" s="56"/>
      <c r="EC34" s="56"/>
      <c r="ED34" s="56"/>
      <c r="EE34" s="56"/>
      <c r="EF34" s="56"/>
      <c r="EG34" s="56"/>
      <c r="EH34" s="56"/>
      <c r="EI34" s="56"/>
      <c r="EJ34" s="56"/>
      <c r="EK34" s="56"/>
      <c r="EL34" s="56"/>
      <c r="EM34" s="56"/>
      <c r="EN34" s="56"/>
      <c r="EO34" s="56"/>
      <c r="EP34" s="56"/>
      <c r="EQ34" s="56"/>
      <c r="ER34" s="56"/>
      <c r="ES34" s="56"/>
      <c r="ET34" s="56"/>
      <c r="EU34" s="56"/>
      <c r="EV34" s="56"/>
      <c r="EW34" s="56"/>
      <c r="EX34" s="56"/>
      <c r="EY34" s="56"/>
      <c r="EZ34" s="56"/>
      <c r="FA34" s="56"/>
      <c r="FB34" s="56"/>
      <c r="FC34" s="56"/>
      <c r="FD34" s="56"/>
      <c r="FE34" s="56"/>
      <c r="FF34" s="56"/>
      <c r="FG34" s="56"/>
      <c r="FH34" s="36"/>
      <c r="FI34" s="36"/>
      <c r="FJ34" s="36"/>
      <c r="FK34" s="36"/>
      <c r="FL34" s="36"/>
      <c r="FM34" s="36"/>
      <c r="FN34" s="36"/>
      <c r="FO34" s="36"/>
      <c r="FP34" s="36"/>
      <c r="FQ34" s="36"/>
      <c r="FR34" s="36"/>
      <c r="FS34" s="36"/>
      <c r="FT34" s="36"/>
      <c r="FU34" s="36"/>
      <c r="FV34" s="36"/>
      <c r="FW34" s="36"/>
      <c r="FX34" s="36"/>
      <c r="FY34" s="36"/>
      <c r="FZ34" s="36"/>
      <c r="GA34" s="36"/>
      <c r="GB34" s="36"/>
      <c r="GC34" s="36"/>
      <c r="GD34" s="36"/>
      <c r="GE34" s="36"/>
      <c r="GF34" s="36"/>
      <c r="GG34" s="36"/>
      <c r="GH34" s="36"/>
      <c r="GI34" s="36"/>
      <c r="GJ34" s="36"/>
      <c r="GK34" s="36"/>
      <c r="GL34" s="36"/>
      <c r="GM34" s="36"/>
      <c r="GN34" s="36"/>
      <c r="GO34" s="36"/>
      <c r="GP34" s="36"/>
      <c r="GQ34" s="36"/>
      <c r="GR34" s="36"/>
      <c r="GS34" s="36"/>
      <c r="GT34" s="36"/>
      <c r="GU34" s="36"/>
      <c r="GV34" s="36"/>
      <c r="GW34" s="36"/>
      <c r="GX34" s="36"/>
      <c r="GY34" s="36"/>
      <c r="GZ34" s="36"/>
      <c r="HA34" s="36"/>
      <c r="HB34" s="36"/>
      <c r="HC34" s="36"/>
    </row>
    <row r="35" spans="1:211" ht="21" x14ac:dyDescent="0.4">
      <c r="P35" s="31"/>
      <c r="Q35" s="31"/>
      <c r="R35" s="31"/>
      <c r="S35" s="31"/>
      <c r="T35" s="31"/>
      <c r="U35" s="31"/>
      <c r="W35" s="44"/>
      <c r="X35" s="41"/>
      <c r="Y35" s="41"/>
      <c r="Z35" s="41"/>
      <c r="AA35" s="41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3"/>
      <c r="DN35" s="40"/>
      <c r="DO35" s="40"/>
      <c r="DP35" s="40"/>
      <c r="DQ35" s="40"/>
      <c r="DR35" s="40"/>
      <c r="DS35" s="40"/>
      <c r="DT35" s="40"/>
      <c r="DU35" s="40"/>
      <c r="DV35" s="40"/>
      <c r="DW35" s="40"/>
      <c r="DX35" s="40"/>
      <c r="DY35" s="40"/>
      <c r="DZ35" s="40"/>
      <c r="EA35" s="40"/>
      <c r="EB35" s="40"/>
      <c r="EC35" s="40"/>
      <c r="ED35" s="40"/>
      <c r="EE35" s="40"/>
      <c r="EF35" s="40"/>
      <c r="EG35" s="40"/>
      <c r="EH35" s="40"/>
      <c r="EI35" s="40"/>
      <c r="EJ35" s="40"/>
      <c r="EK35" s="40"/>
      <c r="EL35" s="40"/>
      <c r="EM35" s="40"/>
      <c r="EN35" s="40"/>
      <c r="EO35" s="40"/>
      <c r="EP35" s="40"/>
      <c r="EQ35" s="40"/>
      <c r="ER35" s="40"/>
      <c r="ES35" s="40"/>
      <c r="ET35" s="40"/>
      <c r="EU35" s="40"/>
      <c r="EV35" s="40"/>
      <c r="EW35" s="40"/>
      <c r="EX35" s="40"/>
      <c r="EY35" s="40"/>
      <c r="EZ35" s="40"/>
      <c r="FA35" s="40"/>
      <c r="FB35" s="40"/>
      <c r="FC35" s="40"/>
      <c r="FD35" s="40"/>
      <c r="FE35" s="40"/>
      <c r="FF35" s="40"/>
      <c r="FG35" s="40"/>
      <c r="FH35" s="40"/>
      <c r="FI35" s="40"/>
      <c r="FJ35" s="40"/>
      <c r="FK35" s="40"/>
      <c r="FL35" s="40"/>
      <c r="FM35" s="40"/>
      <c r="FN35" s="40"/>
      <c r="FO35" s="40"/>
      <c r="FP35" s="40"/>
      <c r="FQ35" s="40"/>
      <c r="FR35" s="40"/>
      <c r="FS35" s="40"/>
      <c r="FT35" s="40"/>
      <c r="FU35" s="40"/>
      <c r="FV35" s="40"/>
      <c r="FW35" s="39"/>
      <c r="FX35" s="39"/>
      <c r="FY35" s="39"/>
      <c r="FZ35" s="39"/>
      <c r="GA35" s="39"/>
      <c r="GB35" s="39"/>
      <c r="GC35" s="39"/>
      <c r="GD35" s="39"/>
      <c r="GE35" s="39"/>
      <c r="GF35" s="39"/>
      <c r="GG35" s="39"/>
      <c r="GH35" s="39"/>
      <c r="GI35" s="39"/>
      <c r="GJ35" s="39"/>
      <c r="GK35" s="39"/>
      <c r="GL35" s="39"/>
      <c r="GM35" s="39"/>
      <c r="GN35" s="39"/>
      <c r="GO35" s="39"/>
      <c r="GP35" s="39"/>
      <c r="GQ35" s="39"/>
      <c r="GR35" s="39"/>
      <c r="GS35" s="39"/>
      <c r="GT35" s="39"/>
      <c r="GU35" s="39"/>
      <c r="GV35" s="39"/>
      <c r="GW35" s="39"/>
      <c r="GX35" s="39"/>
      <c r="GY35" s="39"/>
      <c r="GZ35" s="39"/>
      <c r="HA35" s="39"/>
      <c r="HB35" s="39"/>
      <c r="HC35" s="39"/>
    </row>
    <row r="36" spans="1:211" s="25" customFormat="1" ht="21" x14ac:dyDescent="0.4">
      <c r="P36" s="30"/>
      <c r="Q36" s="30"/>
      <c r="R36" s="30"/>
      <c r="S36" s="30"/>
      <c r="T36" s="29"/>
      <c r="U36" s="29"/>
      <c r="W36" s="38"/>
      <c r="X36" s="41"/>
      <c r="Y36" s="41"/>
      <c r="Z36" s="41"/>
      <c r="AA36" s="42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6"/>
      <c r="CK36" s="26"/>
      <c r="CL36" s="26"/>
      <c r="CM36" s="26"/>
      <c r="CN36" s="26"/>
      <c r="CO36" s="26"/>
      <c r="CP36" s="26"/>
      <c r="CQ36" s="26"/>
      <c r="CR36" s="26"/>
      <c r="CS36" s="26"/>
      <c r="CT36" s="26"/>
      <c r="CU36" s="26"/>
      <c r="CV36" s="26"/>
      <c r="CW36" s="26"/>
      <c r="CX36" s="26"/>
      <c r="CY36" s="26"/>
      <c r="CZ36" s="26"/>
      <c r="DA36" s="26"/>
      <c r="DB36" s="26"/>
      <c r="DC36" s="26"/>
      <c r="DD36" s="26"/>
      <c r="DE36" s="26"/>
      <c r="DF36" s="26"/>
      <c r="DG36" s="26"/>
      <c r="DH36" s="26"/>
      <c r="DI36" s="26"/>
      <c r="DJ36" s="26"/>
      <c r="DK36" s="37"/>
      <c r="DN36" s="36"/>
      <c r="DO36" s="36"/>
      <c r="DP36" s="36"/>
      <c r="DQ36" s="36"/>
      <c r="DR36" s="36"/>
      <c r="DS36" s="36"/>
      <c r="DT36" s="36"/>
      <c r="DU36" s="36"/>
      <c r="DV36" s="36"/>
      <c r="DW36" s="36"/>
      <c r="DX36" s="36"/>
      <c r="DY36" s="36"/>
      <c r="DZ36" s="36"/>
      <c r="EA36" s="36"/>
      <c r="EB36" s="36"/>
      <c r="EC36" s="36"/>
      <c r="ED36" s="36"/>
      <c r="EE36" s="36"/>
      <c r="EF36" s="36"/>
      <c r="EG36" s="36"/>
      <c r="EH36" s="36"/>
      <c r="EI36" s="36"/>
      <c r="EJ36" s="36"/>
      <c r="EK36" s="36"/>
      <c r="EL36" s="36"/>
      <c r="EM36" s="36"/>
      <c r="EN36" s="36"/>
      <c r="EO36" s="36"/>
      <c r="EP36" s="36"/>
      <c r="EQ36" s="36"/>
      <c r="ER36" s="36"/>
      <c r="ES36" s="36"/>
      <c r="ET36" s="36"/>
      <c r="EU36" s="36"/>
      <c r="EV36" s="36"/>
      <c r="EW36" s="36"/>
      <c r="EX36" s="36"/>
      <c r="EY36" s="36"/>
      <c r="EZ36" s="36"/>
      <c r="FA36" s="36"/>
      <c r="FB36" s="36"/>
      <c r="FC36" s="36"/>
      <c r="FD36" s="36"/>
      <c r="FE36" s="36"/>
      <c r="FF36" s="36"/>
      <c r="FG36" s="36"/>
      <c r="FH36" s="36"/>
      <c r="FI36" s="36"/>
      <c r="FJ36" s="36"/>
      <c r="FK36" s="36"/>
      <c r="FL36" s="36"/>
      <c r="FM36" s="36"/>
      <c r="FN36" s="36"/>
      <c r="FO36" s="36"/>
      <c r="FP36" s="36"/>
      <c r="FQ36" s="36"/>
      <c r="FR36" s="36"/>
      <c r="FS36" s="36"/>
      <c r="FT36" s="36"/>
      <c r="FU36" s="36"/>
      <c r="FV36" s="36"/>
      <c r="FW36" s="36"/>
      <c r="FX36" s="36"/>
      <c r="FY36" s="36"/>
      <c r="FZ36" s="36"/>
      <c r="GA36" s="36"/>
      <c r="GB36" s="36"/>
      <c r="GC36" s="36"/>
      <c r="GD36" s="36"/>
      <c r="GE36" s="36"/>
      <c r="GF36" s="36"/>
      <c r="GG36" s="36"/>
      <c r="GH36" s="36"/>
      <c r="GI36" s="36"/>
      <c r="GJ36" s="36"/>
      <c r="GK36" s="36"/>
      <c r="GL36" s="36"/>
      <c r="GM36" s="36"/>
      <c r="GN36" s="36"/>
      <c r="GO36" s="36"/>
      <c r="GP36" s="36"/>
      <c r="GQ36" s="36"/>
      <c r="GR36" s="36"/>
      <c r="GS36" s="36"/>
      <c r="GT36" s="36"/>
      <c r="GU36" s="36"/>
      <c r="GV36" s="36"/>
      <c r="GW36" s="36"/>
      <c r="GX36" s="36"/>
      <c r="GY36" s="36"/>
      <c r="GZ36" s="36"/>
      <c r="HA36" s="36"/>
      <c r="HB36" s="36"/>
      <c r="HC36" s="36"/>
    </row>
    <row r="37" spans="1:211" ht="21" x14ac:dyDescent="0.4">
      <c r="P37" s="31"/>
      <c r="Q37" s="31"/>
      <c r="R37" s="31"/>
      <c r="S37" s="31"/>
      <c r="T37" s="31"/>
      <c r="U37" s="31"/>
      <c r="W37" s="38"/>
      <c r="X37" s="41"/>
      <c r="Y37" s="41"/>
      <c r="Z37" s="41"/>
      <c r="AA37" s="41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37"/>
      <c r="DN37" s="40"/>
      <c r="DO37" s="40"/>
      <c r="DP37" s="40"/>
      <c r="DQ37" s="40"/>
      <c r="DR37" s="40"/>
      <c r="DS37" s="40"/>
      <c r="DT37" s="40"/>
      <c r="DU37" s="40"/>
      <c r="DV37" s="40"/>
      <c r="DW37" s="40"/>
      <c r="DX37" s="40"/>
      <c r="DY37" s="40"/>
      <c r="DZ37" s="40"/>
      <c r="EA37" s="40"/>
      <c r="EB37" s="40"/>
      <c r="EC37" s="40"/>
      <c r="ED37" s="40"/>
      <c r="EE37" s="40"/>
      <c r="EF37" s="40"/>
      <c r="EG37" s="40"/>
      <c r="EH37" s="40"/>
      <c r="EI37" s="40"/>
      <c r="EJ37" s="40"/>
      <c r="EK37" s="40"/>
      <c r="EL37" s="40"/>
      <c r="EM37" s="40"/>
      <c r="EN37" s="40"/>
      <c r="EO37" s="40"/>
      <c r="EP37" s="40"/>
      <c r="EQ37" s="40"/>
      <c r="ER37" s="40"/>
      <c r="ES37" s="40"/>
      <c r="ET37" s="40"/>
      <c r="EU37" s="40"/>
      <c r="EV37" s="40"/>
      <c r="EW37" s="40"/>
      <c r="EX37" s="40"/>
      <c r="EY37" s="40"/>
      <c r="EZ37" s="40"/>
      <c r="FA37" s="40"/>
      <c r="FB37" s="40"/>
      <c r="FC37" s="40"/>
      <c r="FD37" s="40"/>
      <c r="FE37" s="40"/>
      <c r="FF37" s="40"/>
      <c r="FG37" s="40"/>
      <c r="FH37" s="40"/>
      <c r="FI37" s="40"/>
      <c r="FJ37" s="40"/>
      <c r="FK37" s="40"/>
      <c r="FL37" s="40"/>
      <c r="FM37" s="40"/>
      <c r="FN37" s="40"/>
      <c r="FO37" s="40"/>
      <c r="FP37" s="40"/>
      <c r="FQ37" s="40"/>
      <c r="FR37" s="40"/>
      <c r="FS37" s="40"/>
      <c r="FT37" s="40"/>
      <c r="FU37" s="40"/>
      <c r="FV37" s="40"/>
      <c r="FW37" s="39"/>
      <c r="FX37" s="39"/>
      <c r="FY37" s="39"/>
      <c r="FZ37" s="39"/>
      <c r="GA37" s="39"/>
      <c r="GB37" s="39"/>
      <c r="GC37" s="39"/>
      <c r="GD37" s="39"/>
      <c r="GE37" s="39"/>
      <c r="GF37" s="39"/>
      <c r="GG37" s="39"/>
      <c r="GH37" s="39"/>
      <c r="GI37" s="39"/>
      <c r="GJ37" s="39"/>
      <c r="GK37" s="39"/>
      <c r="GL37" s="39"/>
      <c r="GM37" s="39"/>
      <c r="GN37" s="39"/>
      <c r="GO37" s="39"/>
      <c r="GP37" s="39"/>
      <c r="GQ37" s="39"/>
      <c r="GR37" s="39"/>
      <c r="GS37" s="39"/>
      <c r="GT37" s="39"/>
      <c r="GU37" s="39"/>
      <c r="GV37" s="39"/>
      <c r="GW37" s="39"/>
      <c r="GX37" s="39"/>
      <c r="GY37" s="39"/>
      <c r="GZ37" s="39"/>
      <c r="HA37" s="39"/>
      <c r="HB37" s="39"/>
      <c r="HC37" s="39"/>
    </row>
    <row r="38" spans="1:211" s="25" customFormat="1" ht="21" x14ac:dyDescent="0.4">
      <c r="P38" s="30"/>
      <c r="Q38" s="30"/>
      <c r="R38" s="30"/>
      <c r="S38" s="30"/>
      <c r="T38" s="29"/>
      <c r="U38" s="29"/>
      <c r="W38" s="38"/>
      <c r="X38" s="41"/>
      <c r="Y38" s="41"/>
      <c r="Z38" s="41"/>
      <c r="AA38" s="42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6"/>
      <c r="BI38" s="26"/>
      <c r="BJ38" s="26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6"/>
      <c r="CK38" s="26"/>
      <c r="CL38" s="26"/>
      <c r="CM38" s="26"/>
      <c r="CN38" s="26"/>
      <c r="CO38" s="26"/>
      <c r="CP38" s="26"/>
      <c r="CQ38" s="26"/>
      <c r="CR38" s="26"/>
      <c r="CS38" s="26"/>
      <c r="CT38" s="26"/>
      <c r="CU38" s="26"/>
      <c r="CV38" s="26"/>
      <c r="CW38" s="26"/>
      <c r="CX38" s="26"/>
      <c r="CY38" s="26"/>
      <c r="CZ38" s="26"/>
      <c r="DA38" s="26"/>
      <c r="DB38" s="26"/>
      <c r="DC38" s="26"/>
      <c r="DD38" s="26"/>
      <c r="DE38" s="26"/>
      <c r="DF38" s="26"/>
      <c r="DG38" s="26"/>
      <c r="DH38" s="26"/>
      <c r="DI38" s="26"/>
      <c r="DJ38" s="26"/>
      <c r="DK38" s="37"/>
      <c r="DN38" s="36"/>
      <c r="DO38" s="36"/>
      <c r="DP38" s="36"/>
      <c r="DQ38" s="36"/>
      <c r="DR38" s="36"/>
      <c r="DS38" s="36"/>
      <c r="DT38" s="36"/>
      <c r="DU38" s="36"/>
      <c r="DV38" s="36"/>
      <c r="DW38" s="36"/>
      <c r="DX38" s="36"/>
      <c r="DY38" s="36"/>
      <c r="DZ38" s="36"/>
      <c r="EA38" s="36"/>
      <c r="EB38" s="36"/>
      <c r="EC38" s="36"/>
      <c r="ED38" s="36"/>
      <c r="EE38" s="36"/>
      <c r="EF38" s="36"/>
      <c r="EG38" s="36"/>
      <c r="EH38" s="36"/>
      <c r="EI38" s="36"/>
      <c r="EJ38" s="36"/>
      <c r="EK38" s="36"/>
      <c r="EL38" s="36"/>
      <c r="EM38" s="36"/>
      <c r="EN38" s="36"/>
      <c r="EO38" s="36"/>
      <c r="EP38" s="36"/>
      <c r="EQ38" s="36"/>
      <c r="ER38" s="36"/>
      <c r="ES38" s="36"/>
      <c r="ET38" s="36"/>
      <c r="EU38" s="36"/>
      <c r="EV38" s="36"/>
      <c r="EW38" s="36"/>
      <c r="EX38" s="36"/>
      <c r="EY38" s="36"/>
      <c r="EZ38" s="36"/>
      <c r="FA38" s="36"/>
      <c r="FB38" s="36"/>
      <c r="FC38" s="36"/>
      <c r="FD38" s="36"/>
      <c r="FE38" s="36"/>
      <c r="FF38" s="36"/>
      <c r="FG38" s="36"/>
      <c r="FH38" s="36"/>
      <c r="FI38" s="36"/>
      <c r="FJ38" s="36"/>
      <c r="FK38" s="36"/>
      <c r="FL38" s="36"/>
      <c r="FM38" s="36"/>
      <c r="FN38" s="36"/>
      <c r="FO38" s="36"/>
      <c r="FP38" s="36"/>
      <c r="FQ38" s="36"/>
      <c r="FR38" s="36"/>
      <c r="FS38" s="36"/>
      <c r="FT38" s="36"/>
      <c r="FU38" s="36"/>
      <c r="FV38" s="36"/>
      <c r="FW38" s="36"/>
      <c r="FX38" s="36"/>
      <c r="FY38" s="36"/>
      <c r="FZ38" s="36"/>
      <c r="GA38" s="36"/>
      <c r="GB38" s="36"/>
      <c r="GC38" s="36"/>
      <c r="GD38" s="36"/>
      <c r="GE38" s="36"/>
      <c r="GF38" s="36"/>
      <c r="GG38" s="36"/>
      <c r="GH38" s="36"/>
      <c r="GI38" s="36"/>
      <c r="GJ38" s="36"/>
      <c r="GK38" s="36"/>
      <c r="GL38" s="36"/>
      <c r="GM38" s="36"/>
      <c r="GN38" s="36"/>
      <c r="GO38" s="36"/>
      <c r="GP38" s="36"/>
      <c r="GQ38" s="36"/>
      <c r="GR38" s="36"/>
      <c r="GS38" s="36"/>
      <c r="GT38" s="36"/>
      <c r="GU38" s="36"/>
      <c r="GV38" s="36"/>
      <c r="GW38" s="36"/>
      <c r="GX38" s="36"/>
      <c r="GY38" s="36"/>
      <c r="GZ38" s="36"/>
      <c r="HA38" s="36"/>
      <c r="HB38" s="36"/>
      <c r="HC38" s="36"/>
    </row>
    <row r="39" spans="1:211" ht="21" x14ac:dyDescent="0.4">
      <c r="A39" s="136"/>
      <c r="B39" s="136"/>
      <c r="C39" s="136"/>
      <c r="D39" s="136"/>
      <c r="E39" s="136"/>
      <c r="F39" s="136"/>
      <c r="G39" s="136"/>
      <c r="H39" s="136"/>
      <c r="I39" s="136"/>
      <c r="J39" s="136"/>
      <c r="K39" s="136"/>
      <c r="L39" s="136"/>
      <c r="M39" s="136"/>
      <c r="N39" s="136"/>
      <c r="O39" s="136"/>
      <c r="P39" s="31"/>
      <c r="Q39" s="31"/>
      <c r="R39" s="31"/>
      <c r="S39" s="31"/>
      <c r="T39" s="31"/>
      <c r="U39" s="31"/>
      <c r="W39" s="38"/>
      <c r="X39" s="41"/>
      <c r="Y39" s="41"/>
      <c r="Z39" s="41"/>
      <c r="AA39" s="41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37"/>
      <c r="DN39" s="40"/>
      <c r="DO39" s="40"/>
      <c r="DP39" s="40"/>
      <c r="DQ39" s="40"/>
      <c r="DR39" s="40"/>
      <c r="DS39" s="40"/>
      <c r="DT39" s="40"/>
      <c r="DU39" s="40"/>
      <c r="DV39" s="40"/>
      <c r="DW39" s="40"/>
      <c r="DX39" s="40"/>
      <c r="DY39" s="40"/>
      <c r="DZ39" s="40"/>
      <c r="EA39" s="40"/>
      <c r="EB39" s="40"/>
      <c r="EC39" s="40"/>
      <c r="ED39" s="40"/>
      <c r="EE39" s="40"/>
      <c r="EF39" s="40"/>
      <c r="EG39" s="40"/>
      <c r="EH39" s="40"/>
      <c r="EI39" s="40"/>
      <c r="EJ39" s="40"/>
      <c r="EK39" s="40"/>
      <c r="EL39" s="40"/>
      <c r="EM39" s="40"/>
      <c r="EN39" s="40"/>
      <c r="EO39" s="40"/>
      <c r="EP39" s="40"/>
      <c r="EQ39" s="40"/>
      <c r="ER39" s="40"/>
      <c r="ES39" s="40"/>
      <c r="ET39" s="40"/>
      <c r="EU39" s="40"/>
      <c r="EV39" s="40"/>
      <c r="EW39" s="40"/>
      <c r="EX39" s="40"/>
      <c r="EY39" s="40"/>
      <c r="EZ39" s="40"/>
      <c r="FA39" s="40"/>
      <c r="FB39" s="40"/>
      <c r="FC39" s="40"/>
      <c r="FD39" s="40"/>
      <c r="FE39" s="40"/>
      <c r="FF39" s="40"/>
      <c r="FG39" s="40"/>
      <c r="FH39" s="40"/>
      <c r="FI39" s="40"/>
      <c r="FJ39" s="40"/>
      <c r="FK39" s="40"/>
      <c r="FL39" s="40"/>
      <c r="FM39" s="40"/>
      <c r="FN39" s="40"/>
      <c r="FO39" s="40"/>
      <c r="FP39" s="40"/>
      <c r="FQ39" s="40"/>
      <c r="FR39" s="40"/>
      <c r="FS39" s="40"/>
      <c r="FT39" s="40"/>
      <c r="FU39" s="40"/>
      <c r="FV39" s="40"/>
      <c r="FW39" s="39"/>
      <c r="FX39" s="39"/>
      <c r="FY39" s="39"/>
      <c r="FZ39" s="39"/>
      <c r="GA39" s="39"/>
      <c r="GB39" s="39"/>
      <c r="GC39" s="39"/>
      <c r="GD39" s="39"/>
      <c r="GE39" s="39"/>
      <c r="GF39" s="39"/>
      <c r="GG39" s="39"/>
      <c r="GH39" s="39"/>
      <c r="GI39" s="39"/>
      <c r="GJ39" s="39"/>
      <c r="GK39" s="39"/>
      <c r="GL39" s="39"/>
      <c r="GM39" s="39"/>
      <c r="GN39" s="39"/>
      <c r="GO39" s="39"/>
      <c r="GP39" s="39"/>
      <c r="GQ39" s="39"/>
      <c r="GR39" s="39"/>
      <c r="GS39" s="39"/>
      <c r="GT39" s="39"/>
      <c r="GU39" s="39"/>
      <c r="GV39" s="39"/>
      <c r="GW39" s="39"/>
      <c r="GX39" s="39"/>
      <c r="GY39" s="39"/>
      <c r="GZ39" s="39"/>
      <c r="HA39" s="39"/>
      <c r="HB39" s="39"/>
      <c r="HC39" s="39"/>
    </row>
    <row r="40" spans="1:211" s="25" customFormat="1" ht="21" x14ac:dyDescent="0.4">
      <c r="A40" s="136"/>
      <c r="B40" s="136"/>
      <c r="C40" s="136"/>
      <c r="D40" s="136"/>
      <c r="E40" s="136"/>
      <c r="F40" s="136"/>
      <c r="G40" s="136"/>
      <c r="H40" s="136"/>
      <c r="I40" s="31"/>
      <c r="J40" s="32"/>
      <c r="K40" s="30"/>
      <c r="L40" s="30"/>
      <c r="M40" s="30"/>
      <c r="N40" s="31"/>
      <c r="O40" s="30"/>
      <c r="P40" s="30"/>
      <c r="Q40" s="30"/>
      <c r="R40" s="30"/>
      <c r="S40" s="30"/>
      <c r="T40" s="29"/>
      <c r="U40" s="29"/>
      <c r="W40" s="38"/>
      <c r="X40" s="41"/>
      <c r="Y40" s="41"/>
      <c r="Z40" s="41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7"/>
      <c r="BW40" s="27"/>
      <c r="BX40" s="27"/>
      <c r="BY40" s="27"/>
      <c r="BZ40" s="27"/>
      <c r="CA40" s="27"/>
      <c r="CB40" s="27"/>
      <c r="CC40" s="27"/>
      <c r="CD40" s="27"/>
      <c r="CE40" s="27"/>
      <c r="CF40" s="27"/>
      <c r="CG40" s="27"/>
      <c r="CH40" s="27"/>
      <c r="CI40" s="27"/>
      <c r="CJ40" s="26"/>
      <c r="CK40" s="26"/>
      <c r="CL40" s="26"/>
      <c r="CM40" s="26"/>
      <c r="CN40" s="26"/>
      <c r="CO40" s="26"/>
      <c r="CP40" s="26"/>
      <c r="CQ40" s="26"/>
      <c r="CR40" s="26"/>
      <c r="CS40" s="26"/>
      <c r="CT40" s="26"/>
      <c r="CU40" s="26"/>
      <c r="CV40" s="26"/>
      <c r="CW40" s="26"/>
      <c r="CX40" s="26"/>
      <c r="CY40" s="26"/>
      <c r="CZ40" s="26"/>
      <c r="DA40" s="26"/>
      <c r="DB40" s="26"/>
      <c r="DC40" s="26"/>
      <c r="DD40" s="26"/>
      <c r="DE40" s="26"/>
      <c r="DF40" s="26"/>
      <c r="DG40" s="26"/>
      <c r="DH40" s="26"/>
      <c r="DI40" s="26"/>
      <c r="DJ40" s="26"/>
      <c r="DK40" s="37"/>
      <c r="DN40" s="36"/>
      <c r="DO40" s="36"/>
      <c r="DP40" s="36"/>
      <c r="DQ40" s="36"/>
      <c r="DR40" s="36"/>
      <c r="DS40" s="36"/>
      <c r="DT40" s="36"/>
      <c r="DU40" s="36"/>
      <c r="DV40" s="36"/>
      <c r="DW40" s="36"/>
      <c r="DX40" s="36"/>
      <c r="DY40" s="36"/>
      <c r="DZ40" s="36"/>
      <c r="EA40" s="36"/>
      <c r="EB40" s="36"/>
      <c r="EC40" s="36"/>
      <c r="ED40" s="36"/>
      <c r="EE40" s="36"/>
      <c r="EF40" s="36"/>
      <c r="EG40" s="36"/>
      <c r="EH40" s="36"/>
      <c r="EI40" s="36"/>
      <c r="EJ40" s="36"/>
      <c r="EK40" s="36"/>
      <c r="EL40" s="36"/>
      <c r="EM40" s="36"/>
      <c r="EN40" s="36"/>
      <c r="EO40" s="36"/>
      <c r="EP40" s="36"/>
      <c r="EQ40" s="36"/>
      <c r="ER40" s="36"/>
      <c r="ES40" s="36"/>
      <c r="ET40" s="36"/>
      <c r="EU40" s="36"/>
      <c r="EV40" s="36"/>
      <c r="EW40" s="36"/>
      <c r="EX40" s="36"/>
      <c r="EY40" s="36"/>
      <c r="EZ40" s="36"/>
      <c r="FA40" s="36"/>
      <c r="FB40" s="36"/>
      <c r="FC40" s="36"/>
      <c r="FD40" s="36"/>
      <c r="FE40" s="36"/>
      <c r="FF40" s="36"/>
      <c r="FG40" s="36"/>
      <c r="FH40" s="36"/>
      <c r="FI40" s="36"/>
      <c r="FJ40" s="36"/>
      <c r="FK40" s="36"/>
      <c r="FL40" s="36"/>
      <c r="FM40" s="36"/>
      <c r="FN40" s="36"/>
      <c r="FO40" s="36"/>
      <c r="FP40" s="36"/>
      <c r="FQ40" s="36"/>
      <c r="FR40" s="36"/>
      <c r="FS40" s="36"/>
      <c r="FT40" s="36"/>
      <c r="FU40" s="36"/>
      <c r="FV40" s="36"/>
      <c r="FW40" s="36"/>
      <c r="FX40" s="36"/>
      <c r="FY40" s="36"/>
      <c r="FZ40" s="36"/>
      <c r="GA40" s="36"/>
      <c r="GB40" s="36"/>
      <c r="GC40" s="36"/>
      <c r="GD40" s="36"/>
      <c r="GE40" s="36"/>
      <c r="GF40" s="36"/>
      <c r="GG40" s="36"/>
      <c r="GH40" s="36"/>
      <c r="GI40" s="36"/>
      <c r="GJ40" s="36"/>
      <c r="GK40" s="36"/>
      <c r="GL40" s="36"/>
      <c r="GM40" s="36"/>
      <c r="GN40" s="36"/>
      <c r="GO40" s="36"/>
      <c r="GP40" s="36"/>
      <c r="GQ40" s="36"/>
      <c r="GR40" s="36"/>
      <c r="GS40" s="36"/>
      <c r="GT40" s="36"/>
      <c r="GU40" s="36"/>
      <c r="GV40" s="36"/>
      <c r="GW40" s="36"/>
      <c r="GX40" s="36"/>
      <c r="GY40" s="36"/>
      <c r="GZ40" s="36"/>
      <c r="HA40" s="36"/>
      <c r="HB40" s="36"/>
      <c r="HC40" s="36"/>
    </row>
    <row r="41" spans="1:211" ht="21" x14ac:dyDescent="0.25">
      <c r="A41" s="125"/>
      <c r="B41" s="34"/>
      <c r="C41" s="33"/>
      <c r="D41" s="35"/>
      <c r="E41" s="32"/>
      <c r="F41" s="30"/>
      <c r="G41" s="30"/>
      <c r="H41" s="30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</row>
    <row r="42" spans="1:211" s="25" customFormat="1" ht="21" x14ac:dyDescent="0.25">
      <c r="A42" s="125"/>
      <c r="B42" s="35"/>
      <c r="C42" s="31"/>
      <c r="D42" s="31"/>
      <c r="E42" s="31"/>
      <c r="F42" s="31"/>
      <c r="G42" s="31"/>
      <c r="H42" s="31"/>
      <c r="I42" s="31"/>
      <c r="J42" s="32"/>
      <c r="K42" s="30"/>
      <c r="L42" s="30"/>
      <c r="M42" s="30"/>
      <c r="N42" s="31"/>
      <c r="O42" s="30"/>
      <c r="P42" s="30"/>
      <c r="Q42" s="30"/>
      <c r="R42" s="30"/>
      <c r="S42" s="30"/>
      <c r="T42" s="29"/>
      <c r="U42" s="29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6"/>
      <c r="CK42" s="26"/>
      <c r="CL42" s="26"/>
      <c r="CM42" s="26"/>
      <c r="CN42" s="26"/>
      <c r="CO42" s="26"/>
      <c r="CP42" s="26"/>
      <c r="CQ42" s="26"/>
      <c r="CR42" s="26"/>
      <c r="CS42" s="26"/>
      <c r="CT42" s="26"/>
      <c r="CU42" s="26"/>
      <c r="CV42" s="26"/>
      <c r="CW42" s="26"/>
      <c r="CX42" s="26"/>
      <c r="CY42" s="26"/>
      <c r="CZ42" s="26"/>
      <c r="DA42" s="26"/>
      <c r="DB42" s="26"/>
      <c r="DC42" s="26"/>
      <c r="DD42" s="26"/>
      <c r="DE42" s="26"/>
      <c r="DF42" s="26"/>
      <c r="DG42" s="26"/>
      <c r="DH42" s="26"/>
      <c r="DI42" s="26"/>
      <c r="DJ42" s="26"/>
    </row>
    <row r="43" spans="1:211" ht="23.1" customHeight="1" x14ac:dyDescent="0.25">
      <c r="A43" s="125"/>
      <c r="B43" s="34"/>
      <c r="C43" s="33"/>
      <c r="D43" s="33"/>
      <c r="E43" s="32"/>
      <c r="F43" s="30"/>
      <c r="G43" s="30"/>
      <c r="H43" s="30"/>
      <c r="I43" s="4"/>
      <c r="J43" s="4"/>
      <c r="K43" s="4"/>
      <c r="L43" s="4"/>
      <c r="M43" s="4"/>
      <c r="N43" s="4"/>
      <c r="O43" s="4"/>
      <c r="P43" s="31"/>
      <c r="Q43" s="31"/>
      <c r="R43" s="31"/>
      <c r="S43" s="31"/>
      <c r="T43" s="31"/>
      <c r="U43" s="31"/>
      <c r="W43" s="28"/>
      <c r="X43" s="28"/>
      <c r="Y43" s="28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</row>
    <row r="44" spans="1:211" s="25" customFormat="1" ht="20.25" customHeight="1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30"/>
      <c r="Q44" s="30"/>
      <c r="R44" s="30"/>
      <c r="S44" s="30"/>
      <c r="T44" s="29"/>
      <c r="U44" s="29"/>
      <c r="W44" s="28"/>
      <c r="X44" s="28"/>
      <c r="Y44" s="28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27"/>
      <c r="BV44" s="27"/>
      <c r="BW44" s="27"/>
      <c r="BX44" s="27"/>
      <c r="BY44" s="27"/>
      <c r="BZ44" s="27"/>
      <c r="CA44" s="27"/>
      <c r="CB44" s="27"/>
      <c r="CC44" s="27"/>
      <c r="CD44" s="27"/>
      <c r="CE44" s="27"/>
      <c r="CF44" s="27"/>
      <c r="CG44" s="27"/>
      <c r="CH44" s="27"/>
      <c r="CI44" s="27"/>
      <c r="CJ44" s="26"/>
      <c r="CK44" s="26"/>
      <c r="CL44" s="26"/>
      <c r="CM44" s="26"/>
      <c r="CN44" s="26"/>
      <c r="CO44" s="26"/>
      <c r="CP44" s="26"/>
      <c r="CQ44" s="26"/>
      <c r="CR44" s="26"/>
      <c r="CS44" s="26"/>
      <c r="CT44" s="26"/>
      <c r="CU44" s="26"/>
      <c r="CV44" s="26"/>
      <c r="CW44" s="26"/>
      <c r="CX44" s="26"/>
      <c r="CY44" s="26"/>
      <c r="CZ44" s="26"/>
      <c r="DA44" s="26"/>
      <c r="DB44" s="26"/>
      <c r="DC44" s="26"/>
      <c r="DD44" s="26"/>
      <c r="DE44" s="26"/>
      <c r="DF44" s="26"/>
      <c r="DG44" s="26"/>
      <c r="DH44" s="26"/>
      <c r="DI44" s="26"/>
      <c r="DJ44" s="26"/>
    </row>
    <row r="45" spans="1:211" ht="21" x14ac:dyDescent="0.4">
      <c r="A45" s="4"/>
      <c r="B45" s="4"/>
      <c r="C45" s="4"/>
      <c r="D45" s="4"/>
      <c r="E45" s="24"/>
      <c r="F45" s="23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5"/>
      <c r="T45" s="4"/>
      <c r="U45" s="4"/>
      <c r="W45" s="20"/>
      <c r="X45" s="19"/>
      <c r="Y45" s="20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</row>
    <row r="46" spans="1:211" ht="21" x14ac:dyDescent="0.4">
      <c r="A46" s="4"/>
      <c r="B46" s="4"/>
      <c r="C46" s="4"/>
      <c r="D46" s="4"/>
      <c r="E46" s="2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5"/>
      <c r="T46" s="4"/>
      <c r="U46" s="4"/>
      <c r="W46" s="19"/>
      <c r="X46" s="19"/>
      <c r="Y46" s="19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</row>
    <row r="47" spans="1:211" ht="21" x14ac:dyDescent="0.4">
      <c r="A47" s="4"/>
      <c r="B47" s="4"/>
      <c r="C47" s="4"/>
      <c r="D47" s="4"/>
      <c r="E47" s="23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5"/>
      <c r="T47" s="4"/>
      <c r="U47" s="4"/>
      <c r="W47" s="20"/>
      <c r="X47" s="19"/>
      <c r="Y47" s="20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</row>
    <row r="48" spans="1:211" ht="21" x14ac:dyDescent="0.4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5"/>
      <c r="T48" s="4"/>
      <c r="U48" s="4"/>
      <c r="W48" s="19"/>
      <c r="X48" s="19"/>
      <c r="Y48" s="20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</row>
    <row r="49" spans="1:168" ht="21" x14ac:dyDescent="0.4">
      <c r="A49" s="4"/>
      <c r="B49" s="4"/>
      <c r="C49" s="4"/>
      <c r="D49" s="4"/>
      <c r="E49" s="4"/>
      <c r="F49" s="4"/>
      <c r="G49" s="4"/>
      <c r="H49" s="4"/>
      <c r="I49" s="22"/>
      <c r="J49" s="22"/>
      <c r="K49" s="4"/>
      <c r="L49" s="4"/>
      <c r="M49" s="4"/>
      <c r="N49" s="4"/>
      <c r="O49" s="4"/>
      <c r="P49" s="4"/>
      <c r="Q49" s="4"/>
      <c r="R49" s="4"/>
      <c r="S49" s="5"/>
      <c r="T49" s="4"/>
      <c r="U49" s="4"/>
      <c r="W49" s="20"/>
      <c r="X49" s="19"/>
      <c r="Y49" s="20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</row>
    <row r="50" spans="1:168" ht="21" x14ac:dyDescent="0.4">
      <c r="A50" s="4"/>
      <c r="B50" s="4"/>
      <c r="C50" s="22"/>
      <c r="D50" s="22"/>
      <c r="E50" s="22"/>
      <c r="F50" s="22"/>
      <c r="G50" s="22"/>
      <c r="H50" s="22"/>
      <c r="I50" s="4"/>
      <c r="J50" s="4"/>
      <c r="K50" s="4"/>
      <c r="L50" s="4"/>
      <c r="M50" s="4"/>
      <c r="N50" s="4"/>
      <c r="O50" s="4"/>
      <c r="P50" s="4"/>
      <c r="Q50" s="4"/>
      <c r="R50" s="4"/>
      <c r="S50" s="5"/>
      <c r="T50" s="4"/>
      <c r="U50" s="4"/>
      <c r="W50" s="19"/>
      <c r="X50" s="19"/>
      <c r="Y50" s="19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</row>
    <row r="51" spans="1:168" ht="21" x14ac:dyDescent="0.4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5"/>
      <c r="T51" s="4"/>
      <c r="U51" s="4"/>
      <c r="W51" s="20"/>
      <c r="X51" s="19"/>
      <c r="Y51" s="20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</row>
    <row r="52" spans="1:168" ht="21" x14ac:dyDescent="0.4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5"/>
      <c r="T52" s="4"/>
      <c r="U52" s="4"/>
      <c r="W52" s="4"/>
      <c r="X52" s="4"/>
      <c r="Y52" s="19"/>
      <c r="Z52" s="19"/>
      <c r="AA52" s="19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</row>
    <row r="53" spans="1:168" ht="21" x14ac:dyDescent="0.4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5"/>
      <c r="T53" s="4"/>
      <c r="U53" s="4"/>
      <c r="W53" s="4"/>
      <c r="X53" s="4"/>
      <c r="Y53" s="20"/>
      <c r="Z53" s="21"/>
      <c r="AA53" s="20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</row>
    <row r="54" spans="1:168" ht="21" x14ac:dyDescent="0.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5"/>
      <c r="T54" s="4"/>
      <c r="U54" s="4"/>
      <c r="W54" s="4"/>
      <c r="X54" s="4"/>
      <c r="Y54" s="19"/>
      <c r="Z54" s="19"/>
      <c r="AA54" s="19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</row>
    <row r="55" spans="1:168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5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</row>
    <row r="56" spans="1:168" ht="21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5"/>
      <c r="T56" s="4"/>
      <c r="U56" s="4"/>
      <c r="V56" s="4"/>
      <c r="W56" s="4"/>
      <c r="X56" s="4"/>
      <c r="Y56" s="12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</row>
    <row r="57" spans="1:168" ht="21" customHeight="1" x14ac:dyDescent="0.3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5"/>
      <c r="T57" s="4"/>
      <c r="U57" s="4"/>
      <c r="V57" s="4"/>
      <c r="W57" s="4"/>
      <c r="X57" s="4"/>
      <c r="Y57" s="11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  <c r="CZ57" s="9"/>
      <c r="DA57" s="9"/>
      <c r="DB57" s="9"/>
      <c r="DC57" s="9"/>
      <c r="DD57" s="9"/>
      <c r="DE57" s="9"/>
      <c r="DF57" s="9"/>
      <c r="DG57" s="9"/>
      <c r="DH57" s="9"/>
      <c r="DI57" s="9"/>
      <c r="DJ57" s="9"/>
      <c r="DK57" s="9"/>
      <c r="DL57" s="9"/>
      <c r="DM57" s="8"/>
      <c r="DN57" s="8"/>
      <c r="DO57" s="8"/>
      <c r="DP57" s="8"/>
      <c r="DQ57" s="8"/>
      <c r="DR57" s="8"/>
      <c r="DS57" s="8"/>
      <c r="DT57" s="8"/>
      <c r="DU57" s="8"/>
      <c r="DV57" s="8"/>
      <c r="DW57" s="8"/>
      <c r="DX57" s="8"/>
      <c r="DY57" s="8"/>
      <c r="DZ57" s="8"/>
      <c r="EA57" s="8"/>
      <c r="EB57" s="8"/>
      <c r="EC57" s="8"/>
      <c r="ED57" s="8"/>
      <c r="EE57" s="8"/>
      <c r="EF57" s="8"/>
      <c r="EG57" s="8"/>
      <c r="EH57" s="8"/>
      <c r="EI57" s="8"/>
      <c r="EJ57" s="8"/>
      <c r="EK57" s="8"/>
      <c r="EL57" s="8"/>
      <c r="EM57" s="8"/>
      <c r="EN57" s="8"/>
      <c r="EO57" s="10"/>
      <c r="EP57" s="10"/>
      <c r="EQ57" s="10"/>
      <c r="ER57" s="10"/>
      <c r="ES57" s="10"/>
      <c r="ET57" s="10"/>
      <c r="EU57" s="10"/>
      <c r="EV57" s="10"/>
      <c r="EW57" s="10"/>
      <c r="EX57" s="10"/>
      <c r="EY57" s="10"/>
      <c r="EZ57" s="10"/>
      <c r="FA57" s="10"/>
      <c r="FB57" s="10"/>
      <c r="FC57" s="10"/>
      <c r="FD57" s="10"/>
      <c r="FE57" s="10"/>
      <c r="FF57" s="10"/>
      <c r="FG57" s="10"/>
      <c r="FH57" s="10"/>
      <c r="FI57" s="10"/>
      <c r="FJ57" s="10"/>
      <c r="FK57" s="10"/>
      <c r="FL57" s="10"/>
    </row>
    <row r="58" spans="1:168" ht="21" customHeight="1" x14ac:dyDescent="0.3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5"/>
      <c r="T58" s="4"/>
      <c r="U58" s="4"/>
      <c r="V58" s="4"/>
      <c r="W58" s="4"/>
      <c r="X58" s="4"/>
      <c r="Y58" s="11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9"/>
      <c r="CI58" s="9"/>
      <c r="CJ58" s="9"/>
      <c r="CK58" s="9"/>
      <c r="CL58" s="9"/>
      <c r="CM58" s="9"/>
      <c r="CN58" s="9"/>
      <c r="CO58" s="9"/>
      <c r="CP58" s="9"/>
      <c r="CQ58" s="9"/>
      <c r="CR58" s="9"/>
      <c r="CS58" s="9"/>
      <c r="CT58" s="9"/>
      <c r="CU58" s="9"/>
      <c r="CV58" s="9"/>
      <c r="CW58" s="9"/>
      <c r="CX58" s="9"/>
      <c r="CY58" s="9"/>
      <c r="CZ58" s="9"/>
      <c r="DA58" s="9"/>
      <c r="DB58" s="9"/>
      <c r="DC58" s="9"/>
      <c r="DD58" s="9"/>
      <c r="DE58" s="9"/>
      <c r="DF58" s="9"/>
      <c r="DG58" s="9"/>
      <c r="DH58" s="9"/>
      <c r="DI58" s="9"/>
      <c r="DJ58" s="9"/>
      <c r="DK58" s="9"/>
      <c r="DL58" s="9"/>
      <c r="DM58" s="8"/>
      <c r="DN58" s="8"/>
      <c r="DO58" s="8"/>
      <c r="DP58" s="8"/>
      <c r="DQ58" s="8"/>
      <c r="DR58" s="8"/>
      <c r="DS58" s="8"/>
      <c r="DT58" s="8"/>
      <c r="DU58" s="8"/>
      <c r="DV58" s="8"/>
      <c r="DW58" s="8"/>
      <c r="DX58" s="8"/>
      <c r="DY58" s="8"/>
      <c r="DZ58" s="8"/>
      <c r="EA58" s="8"/>
      <c r="EB58" s="8"/>
      <c r="EC58" s="8"/>
      <c r="ED58" s="8"/>
      <c r="EE58" s="8"/>
      <c r="EF58" s="8"/>
      <c r="EG58" s="8"/>
      <c r="EH58" s="8"/>
      <c r="EI58" s="8"/>
      <c r="EJ58" s="8"/>
      <c r="EK58" s="8"/>
      <c r="EL58" s="8"/>
      <c r="EM58" s="8"/>
      <c r="EN58" s="8"/>
      <c r="EO58" s="18"/>
      <c r="EP58" s="18"/>
      <c r="EQ58" s="17"/>
      <c r="ER58" s="17"/>
      <c r="ES58" s="17"/>
      <c r="ET58" s="17"/>
      <c r="EU58" s="17"/>
      <c r="EV58" s="17"/>
      <c r="EW58" s="17"/>
      <c r="EX58" s="17"/>
      <c r="EY58" s="17"/>
      <c r="EZ58" s="17"/>
      <c r="FA58" s="17"/>
      <c r="FB58" s="17"/>
      <c r="FC58" s="17"/>
      <c r="FD58" s="17"/>
      <c r="FE58" s="17"/>
      <c r="FF58" s="17"/>
      <c r="FG58" s="17"/>
      <c r="FH58" s="17"/>
      <c r="FI58" s="17"/>
      <c r="FJ58" s="17"/>
      <c r="FK58" s="17"/>
      <c r="FL58" s="17"/>
    </row>
    <row r="59" spans="1:168" ht="21" customHeight="1" x14ac:dyDescent="0.3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5"/>
      <c r="T59" s="4"/>
      <c r="U59" s="4"/>
      <c r="V59" s="4"/>
      <c r="W59" s="4"/>
      <c r="X59" s="4"/>
      <c r="Y59" s="11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9"/>
      <c r="CS59" s="9"/>
      <c r="CT59" s="9"/>
      <c r="CU59" s="9"/>
      <c r="CV59" s="9"/>
      <c r="CW59" s="9"/>
      <c r="CX59" s="9"/>
      <c r="CY59" s="9"/>
      <c r="CZ59" s="9"/>
      <c r="DA59" s="9"/>
      <c r="DB59" s="9"/>
      <c r="DC59" s="9"/>
      <c r="DD59" s="9"/>
      <c r="DE59" s="9"/>
      <c r="DF59" s="9"/>
      <c r="DG59" s="9"/>
      <c r="DH59" s="9"/>
      <c r="DI59" s="9"/>
      <c r="DJ59" s="9"/>
      <c r="DK59" s="9"/>
      <c r="DL59" s="9"/>
      <c r="DM59" s="8"/>
      <c r="DN59" s="8"/>
      <c r="DO59" s="8"/>
      <c r="DP59" s="8"/>
      <c r="DQ59" s="8"/>
      <c r="DR59" s="8"/>
      <c r="DS59" s="8"/>
      <c r="DT59" s="8"/>
      <c r="DU59" s="8"/>
      <c r="DV59" s="8"/>
      <c r="DW59" s="8"/>
      <c r="DX59" s="8"/>
      <c r="DY59" s="8"/>
      <c r="DZ59" s="8"/>
      <c r="EA59" s="8"/>
      <c r="EB59" s="8"/>
      <c r="EC59" s="8"/>
      <c r="ED59" s="8"/>
      <c r="EE59" s="8"/>
      <c r="EF59" s="8"/>
      <c r="EG59" s="8"/>
      <c r="EH59" s="8"/>
      <c r="EI59" s="8"/>
      <c r="EJ59" s="8"/>
      <c r="EK59" s="8"/>
      <c r="EL59" s="8"/>
      <c r="EM59" s="8"/>
      <c r="EN59" s="8"/>
      <c r="EO59" s="18"/>
      <c r="EP59" s="18"/>
      <c r="EQ59" s="17"/>
      <c r="ER59" s="17"/>
      <c r="ES59" s="17"/>
      <c r="ET59" s="17"/>
      <c r="EU59" s="17"/>
      <c r="EV59" s="17"/>
      <c r="EW59" s="17"/>
      <c r="EX59" s="17"/>
      <c r="EY59" s="17"/>
      <c r="EZ59" s="17"/>
      <c r="FA59" s="17"/>
      <c r="FB59" s="17"/>
      <c r="FC59" s="17"/>
      <c r="FD59" s="17"/>
      <c r="FE59" s="17"/>
      <c r="FF59" s="17"/>
      <c r="FG59" s="17"/>
      <c r="FH59" s="17"/>
      <c r="FI59" s="17"/>
      <c r="FJ59" s="17"/>
      <c r="FK59" s="17"/>
      <c r="FL59" s="17"/>
    </row>
    <row r="60" spans="1:168" ht="21" customHeight="1" x14ac:dyDescent="0.3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5"/>
      <c r="T60" s="4"/>
      <c r="U60" s="4"/>
      <c r="V60" s="4"/>
      <c r="W60" s="4"/>
      <c r="X60" s="4"/>
      <c r="Y60" s="11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  <c r="CF60" s="9"/>
      <c r="CG60" s="9"/>
      <c r="CH60" s="9"/>
      <c r="CI60" s="9"/>
      <c r="CJ60" s="9"/>
      <c r="CK60" s="9"/>
      <c r="CL60" s="9"/>
      <c r="CM60" s="9"/>
      <c r="CN60" s="9"/>
      <c r="CO60" s="9"/>
      <c r="CP60" s="9"/>
      <c r="CQ60" s="9"/>
      <c r="CR60" s="9"/>
      <c r="CS60" s="9"/>
      <c r="CT60" s="9"/>
      <c r="CU60" s="9"/>
      <c r="CV60" s="9"/>
      <c r="CW60" s="9"/>
      <c r="CX60" s="9"/>
      <c r="CY60" s="9"/>
      <c r="CZ60" s="9"/>
      <c r="DA60" s="9"/>
      <c r="DB60" s="9"/>
      <c r="DC60" s="9"/>
      <c r="DD60" s="9"/>
      <c r="DE60" s="9"/>
      <c r="DF60" s="9"/>
      <c r="DG60" s="9"/>
      <c r="DH60" s="9"/>
      <c r="DI60" s="9"/>
      <c r="DJ60" s="9"/>
      <c r="DK60" s="9"/>
      <c r="DL60" s="9"/>
      <c r="DM60" s="8"/>
      <c r="DN60" s="8"/>
      <c r="DO60" s="8"/>
      <c r="DP60" s="8"/>
      <c r="DQ60" s="8"/>
      <c r="DR60" s="8"/>
      <c r="DS60" s="8"/>
      <c r="DT60" s="8"/>
      <c r="DU60" s="8"/>
      <c r="DV60" s="8"/>
      <c r="DW60" s="8"/>
      <c r="DX60" s="8"/>
      <c r="DY60" s="8"/>
      <c r="DZ60" s="8"/>
      <c r="EA60" s="8"/>
      <c r="EB60" s="8"/>
      <c r="EC60" s="8"/>
      <c r="ED60" s="8"/>
      <c r="EE60" s="8"/>
      <c r="EF60" s="8"/>
      <c r="EG60" s="8"/>
      <c r="EH60" s="8"/>
      <c r="EI60" s="8"/>
      <c r="EJ60" s="8"/>
      <c r="EK60" s="8"/>
      <c r="EL60" s="8"/>
      <c r="EM60" s="8"/>
      <c r="EN60" s="8"/>
      <c r="EO60" s="15"/>
      <c r="EP60" s="15"/>
      <c r="EQ60" s="14"/>
      <c r="ER60" s="14"/>
      <c r="ES60" s="14"/>
      <c r="ET60" s="14"/>
      <c r="EU60" s="14"/>
      <c r="EV60" s="14"/>
      <c r="EW60" s="14"/>
      <c r="EX60" s="14"/>
      <c r="EY60" s="14"/>
      <c r="EZ60" s="14"/>
      <c r="FA60" s="14"/>
      <c r="FB60" s="14"/>
      <c r="FC60" s="14"/>
      <c r="FD60" s="14"/>
      <c r="FE60" s="14"/>
      <c r="FF60" s="14"/>
      <c r="FG60" s="14"/>
      <c r="FH60" s="14"/>
      <c r="FI60" s="14"/>
      <c r="FJ60" s="14"/>
      <c r="FK60" s="14"/>
      <c r="FL60" s="14"/>
    </row>
    <row r="61" spans="1:168" ht="21" customHeight="1" x14ac:dyDescent="0.3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5"/>
      <c r="T61" s="4"/>
      <c r="U61" s="4"/>
      <c r="V61" s="4"/>
      <c r="W61" s="4"/>
      <c r="X61" s="4"/>
      <c r="Y61" s="11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  <c r="CL61" s="9"/>
      <c r="CM61" s="9"/>
      <c r="CN61" s="9"/>
      <c r="CO61" s="9"/>
      <c r="CP61" s="9"/>
      <c r="CQ61" s="9"/>
      <c r="CR61" s="9"/>
      <c r="CS61" s="9"/>
      <c r="CT61" s="9"/>
      <c r="CU61" s="9"/>
      <c r="CV61" s="9"/>
      <c r="CW61" s="9"/>
      <c r="CX61" s="9"/>
      <c r="CY61" s="9"/>
      <c r="CZ61" s="9"/>
      <c r="DA61" s="9"/>
      <c r="DB61" s="9"/>
      <c r="DC61" s="9"/>
      <c r="DD61" s="9"/>
      <c r="DE61" s="9"/>
      <c r="DF61" s="9"/>
      <c r="DG61" s="9"/>
      <c r="DH61" s="9"/>
      <c r="DI61" s="9"/>
      <c r="DJ61" s="9"/>
      <c r="DK61" s="9"/>
      <c r="DL61" s="9"/>
      <c r="DM61" s="8"/>
      <c r="DN61" s="8"/>
      <c r="DO61" s="8"/>
      <c r="DP61" s="8"/>
      <c r="DQ61" s="8"/>
      <c r="DR61" s="8"/>
      <c r="DS61" s="8"/>
      <c r="DT61" s="8"/>
      <c r="DU61" s="8"/>
      <c r="DV61" s="8"/>
      <c r="DW61" s="8"/>
      <c r="DX61" s="8"/>
      <c r="DY61" s="8"/>
      <c r="DZ61" s="8"/>
      <c r="EA61" s="8"/>
      <c r="EB61" s="8"/>
      <c r="EC61" s="8"/>
      <c r="ED61" s="8"/>
      <c r="EE61" s="8"/>
      <c r="EF61" s="8"/>
      <c r="EG61" s="8"/>
      <c r="EH61" s="8"/>
      <c r="EI61" s="8"/>
      <c r="EJ61" s="8"/>
      <c r="EK61" s="8"/>
      <c r="EL61" s="8"/>
      <c r="EM61" s="8"/>
      <c r="EN61" s="8"/>
      <c r="EO61" s="15"/>
      <c r="EP61" s="15"/>
      <c r="EQ61" s="14"/>
      <c r="ER61" s="14"/>
      <c r="ES61" s="14"/>
      <c r="ET61" s="14"/>
      <c r="EU61" s="14"/>
      <c r="EV61" s="14"/>
      <c r="EW61" s="14"/>
      <c r="EX61" s="14"/>
      <c r="EY61" s="14"/>
      <c r="EZ61" s="14"/>
      <c r="FA61" s="14"/>
      <c r="FB61" s="14"/>
      <c r="FC61" s="14"/>
      <c r="FD61" s="14"/>
      <c r="FE61" s="14"/>
      <c r="FF61" s="14"/>
      <c r="FG61" s="14"/>
      <c r="FH61" s="14"/>
      <c r="FI61" s="14"/>
      <c r="FJ61" s="14"/>
      <c r="FK61" s="14"/>
      <c r="FL61" s="14"/>
    </row>
    <row r="62" spans="1:168" ht="18.75" customHeight="1" x14ac:dyDescent="0.3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5"/>
      <c r="T62" s="4"/>
      <c r="U62" s="4"/>
      <c r="V62" s="4"/>
      <c r="W62" s="4"/>
      <c r="X62" s="4"/>
      <c r="Y62" s="124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  <c r="CF62" s="9"/>
      <c r="CG62" s="9"/>
      <c r="CH62" s="9"/>
      <c r="CI62" s="9"/>
      <c r="CJ62" s="9"/>
      <c r="CK62" s="9"/>
      <c r="CL62" s="9"/>
      <c r="CM62" s="9"/>
      <c r="CN62" s="9"/>
      <c r="CO62" s="9"/>
      <c r="CP62" s="9"/>
      <c r="CQ62" s="9"/>
      <c r="CR62" s="9"/>
      <c r="CS62" s="9"/>
      <c r="CT62" s="9"/>
      <c r="CU62" s="9"/>
      <c r="CV62" s="9"/>
      <c r="CW62" s="9"/>
      <c r="CX62" s="9"/>
      <c r="CY62" s="9"/>
      <c r="CZ62" s="9"/>
      <c r="DA62" s="9"/>
      <c r="DB62" s="9"/>
      <c r="DC62" s="9"/>
      <c r="DD62" s="9"/>
      <c r="DE62" s="9"/>
      <c r="DF62" s="9"/>
      <c r="DG62" s="9"/>
      <c r="DH62" s="9"/>
      <c r="DI62" s="9"/>
      <c r="DJ62" s="9"/>
      <c r="DK62" s="9"/>
      <c r="DL62" s="9"/>
      <c r="DM62" s="8"/>
      <c r="DN62" s="8"/>
      <c r="DO62" s="8"/>
      <c r="DP62" s="8"/>
      <c r="DQ62" s="8"/>
      <c r="DR62" s="8"/>
      <c r="DS62" s="8"/>
      <c r="DT62" s="8"/>
      <c r="DU62" s="8"/>
      <c r="DV62" s="8"/>
      <c r="DW62" s="8"/>
      <c r="DX62" s="8"/>
      <c r="DY62" s="8"/>
      <c r="DZ62" s="8"/>
      <c r="EA62" s="8"/>
      <c r="EB62" s="8"/>
      <c r="EC62" s="8"/>
      <c r="ED62" s="8"/>
      <c r="EE62" s="8"/>
      <c r="EF62" s="8"/>
      <c r="EG62" s="8"/>
      <c r="EH62" s="8"/>
      <c r="EI62" s="8"/>
      <c r="EJ62" s="8"/>
      <c r="EK62" s="8"/>
      <c r="EL62" s="8"/>
      <c r="EM62" s="8"/>
      <c r="EN62" s="8"/>
      <c r="EO62" s="18"/>
      <c r="EP62" s="18"/>
      <c r="EQ62" s="17"/>
      <c r="ER62" s="17"/>
      <c r="ES62" s="17"/>
      <c r="ET62" s="17"/>
      <c r="EU62" s="17"/>
      <c r="EV62" s="17"/>
      <c r="EW62" s="17"/>
      <c r="EX62" s="17"/>
      <c r="EY62" s="17"/>
      <c r="EZ62" s="17"/>
      <c r="FA62" s="17"/>
      <c r="FB62" s="17"/>
      <c r="FC62" s="17"/>
      <c r="FD62" s="17"/>
      <c r="FE62" s="17"/>
      <c r="FF62" s="17"/>
      <c r="FG62" s="17"/>
      <c r="FH62" s="17"/>
      <c r="FI62" s="17"/>
      <c r="FJ62" s="17"/>
      <c r="FK62" s="17"/>
      <c r="FL62" s="17"/>
    </row>
    <row r="63" spans="1:168" ht="18" x14ac:dyDescent="0.3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5"/>
      <c r="T63" s="4"/>
      <c r="U63" s="4"/>
      <c r="V63" s="4"/>
      <c r="W63" s="4"/>
      <c r="X63" s="4"/>
      <c r="Y63" s="124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  <c r="CN63" s="9"/>
      <c r="CO63" s="9"/>
      <c r="CP63" s="9"/>
      <c r="CQ63" s="9"/>
      <c r="CR63" s="9"/>
      <c r="CS63" s="9"/>
      <c r="CT63" s="9"/>
      <c r="CU63" s="9"/>
      <c r="CV63" s="9"/>
      <c r="CW63" s="9"/>
      <c r="CX63" s="9"/>
      <c r="CY63" s="9"/>
      <c r="CZ63" s="9"/>
      <c r="DA63" s="9"/>
      <c r="DB63" s="9"/>
      <c r="DC63" s="9"/>
      <c r="DD63" s="9"/>
      <c r="DE63" s="9"/>
      <c r="DF63" s="9"/>
      <c r="DG63" s="9"/>
      <c r="DH63" s="9"/>
      <c r="DI63" s="9"/>
      <c r="DJ63" s="9"/>
      <c r="DK63" s="9"/>
      <c r="DL63" s="9"/>
      <c r="DM63" s="8"/>
      <c r="DN63" s="8"/>
      <c r="DO63" s="8"/>
      <c r="DP63" s="8"/>
      <c r="DQ63" s="8"/>
      <c r="DR63" s="8"/>
      <c r="DS63" s="8"/>
      <c r="DT63" s="8"/>
      <c r="DU63" s="8"/>
      <c r="DV63" s="8"/>
      <c r="DW63" s="8"/>
      <c r="DX63" s="8"/>
      <c r="DY63" s="8"/>
      <c r="DZ63" s="8"/>
      <c r="EA63" s="8"/>
      <c r="EB63" s="8"/>
      <c r="EC63" s="8"/>
      <c r="ED63" s="8"/>
      <c r="EE63" s="8"/>
      <c r="EF63" s="8"/>
      <c r="EG63" s="8"/>
      <c r="EH63" s="8"/>
      <c r="EI63" s="8"/>
      <c r="EJ63" s="8"/>
      <c r="EK63" s="8"/>
      <c r="EL63" s="8"/>
      <c r="EM63" s="8"/>
      <c r="EN63" s="8"/>
      <c r="EO63" s="18"/>
      <c r="EP63" s="18"/>
      <c r="EQ63" s="17"/>
      <c r="ER63" s="17"/>
      <c r="ES63" s="17"/>
      <c r="ET63" s="17"/>
      <c r="EU63" s="17"/>
      <c r="EV63" s="17"/>
      <c r="EW63" s="17"/>
      <c r="EX63" s="17"/>
      <c r="EY63" s="17"/>
      <c r="EZ63" s="17"/>
      <c r="FA63" s="17"/>
      <c r="FB63" s="17"/>
      <c r="FC63" s="17"/>
      <c r="FD63" s="17"/>
      <c r="FE63" s="17"/>
      <c r="FF63" s="17"/>
      <c r="FG63" s="17"/>
      <c r="FH63" s="17"/>
      <c r="FI63" s="17"/>
      <c r="FJ63" s="17"/>
      <c r="FK63" s="17"/>
      <c r="FL63" s="17"/>
    </row>
    <row r="64" spans="1:168" ht="18" x14ac:dyDescent="0.3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5"/>
      <c r="T64" s="4"/>
      <c r="U64" s="4"/>
      <c r="V64" s="4"/>
      <c r="W64" s="4"/>
      <c r="X64" s="4"/>
      <c r="Y64" s="124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9"/>
      <c r="CS64" s="9"/>
      <c r="CT64" s="9"/>
      <c r="CU64" s="9"/>
      <c r="CV64" s="9"/>
      <c r="CW64" s="9"/>
      <c r="CX64" s="9"/>
      <c r="CY64" s="9"/>
      <c r="CZ64" s="9"/>
      <c r="DA64" s="9"/>
      <c r="DB64" s="9"/>
      <c r="DC64" s="9"/>
      <c r="DD64" s="9"/>
      <c r="DE64" s="9"/>
      <c r="DF64" s="9"/>
      <c r="DG64" s="9"/>
      <c r="DH64" s="9"/>
      <c r="DI64" s="9"/>
      <c r="DJ64" s="9"/>
      <c r="DK64" s="9"/>
      <c r="DL64" s="9"/>
      <c r="DM64" s="8"/>
      <c r="DN64" s="8"/>
      <c r="DO64" s="8"/>
      <c r="DP64" s="8"/>
      <c r="DQ64" s="8"/>
      <c r="DR64" s="8"/>
      <c r="DS64" s="8"/>
      <c r="DT64" s="8"/>
      <c r="DU64" s="8"/>
      <c r="DV64" s="8"/>
      <c r="DW64" s="8"/>
      <c r="DX64" s="8"/>
      <c r="DY64" s="8"/>
      <c r="DZ64" s="8"/>
      <c r="EA64" s="8"/>
      <c r="EB64" s="8"/>
      <c r="EC64" s="8"/>
      <c r="ED64" s="8"/>
      <c r="EE64" s="8"/>
      <c r="EF64" s="8"/>
      <c r="EG64" s="8"/>
      <c r="EH64" s="8"/>
      <c r="EI64" s="8"/>
      <c r="EJ64" s="8"/>
      <c r="EK64" s="8"/>
      <c r="EL64" s="8"/>
      <c r="EM64" s="8"/>
      <c r="EN64" s="8"/>
      <c r="EO64" s="15"/>
      <c r="EP64" s="15"/>
      <c r="EQ64" s="14"/>
      <c r="ER64" s="14"/>
      <c r="ES64" s="14"/>
      <c r="ET64" s="14"/>
      <c r="EU64" s="14"/>
      <c r="EV64" s="14"/>
      <c r="EW64" s="14"/>
      <c r="EX64" s="14"/>
      <c r="EY64" s="14"/>
      <c r="EZ64" s="14"/>
      <c r="FA64" s="14"/>
      <c r="FB64" s="14"/>
      <c r="FC64" s="14"/>
      <c r="FD64" s="14"/>
      <c r="FE64" s="14"/>
      <c r="FF64" s="14"/>
      <c r="FG64" s="14"/>
      <c r="FH64" s="14"/>
      <c r="FI64" s="14"/>
      <c r="FJ64" s="14"/>
      <c r="FK64" s="14"/>
      <c r="FL64" s="14"/>
    </row>
    <row r="65" spans="1:168" ht="18" x14ac:dyDescent="0.3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5"/>
      <c r="T65" s="4"/>
      <c r="U65" s="4"/>
      <c r="V65" s="4"/>
      <c r="W65" s="4"/>
      <c r="X65" s="4"/>
      <c r="Y65" s="124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/>
      <c r="CN65" s="9"/>
      <c r="CO65" s="9"/>
      <c r="CP65" s="9"/>
      <c r="CQ65" s="9"/>
      <c r="CR65" s="9"/>
      <c r="CS65" s="9"/>
      <c r="CT65" s="9"/>
      <c r="CU65" s="9"/>
      <c r="CV65" s="9"/>
      <c r="CW65" s="9"/>
      <c r="CX65" s="9"/>
      <c r="CY65" s="9"/>
      <c r="CZ65" s="9"/>
      <c r="DA65" s="9"/>
      <c r="DB65" s="9"/>
      <c r="DC65" s="9"/>
      <c r="DD65" s="9"/>
      <c r="DE65" s="9"/>
      <c r="DF65" s="9"/>
      <c r="DG65" s="9"/>
      <c r="DH65" s="9"/>
      <c r="DI65" s="9"/>
      <c r="DJ65" s="9"/>
      <c r="DK65" s="9"/>
      <c r="DL65" s="9"/>
      <c r="DM65" s="8"/>
      <c r="DN65" s="8"/>
      <c r="DO65" s="8"/>
      <c r="DP65" s="8"/>
      <c r="DQ65" s="8"/>
      <c r="DR65" s="8"/>
      <c r="DS65" s="8"/>
      <c r="DT65" s="8"/>
      <c r="DU65" s="8"/>
      <c r="DV65" s="8"/>
      <c r="DW65" s="8"/>
      <c r="DX65" s="8"/>
      <c r="DY65" s="8"/>
      <c r="DZ65" s="8"/>
      <c r="EA65" s="8"/>
      <c r="EB65" s="8"/>
      <c r="EC65" s="8"/>
      <c r="ED65" s="8"/>
      <c r="EE65" s="8"/>
      <c r="EF65" s="8"/>
      <c r="EG65" s="8"/>
      <c r="EH65" s="8"/>
      <c r="EI65" s="8"/>
      <c r="EJ65" s="8"/>
      <c r="EK65" s="8"/>
      <c r="EL65" s="8"/>
      <c r="EM65" s="8"/>
      <c r="EN65" s="8"/>
      <c r="EO65" s="15"/>
      <c r="EP65" s="15"/>
      <c r="EQ65" s="14"/>
      <c r="ER65" s="14"/>
      <c r="ES65" s="14"/>
      <c r="ET65" s="14"/>
      <c r="EU65" s="14"/>
      <c r="EV65" s="14"/>
      <c r="EW65" s="14"/>
      <c r="EX65" s="14"/>
      <c r="EY65" s="14"/>
      <c r="EZ65" s="14"/>
      <c r="FA65" s="14"/>
      <c r="FB65" s="14"/>
      <c r="FC65" s="14"/>
      <c r="FD65" s="14"/>
      <c r="FE65" s="14"/>
      <c r="FF65" s="14"/>
      <c r="FG65" s="14"/>
      <c r="FH65" s="14"/>
      <c r="FI65" s="14"/>
      <c r="FJ65" s="14"/>
      <c r="FK65" s="14"/>
      <c r="FL65" s="14"/>
    </row>
    <row r="66" spans="1:168" ht="43.8" customHeight="1" x14ac:dyDescent="0.35">
      <c r="P66" s="4"/>
      <c r="Q66" s="4"/>
      <c r="R66" s="4"/>
      <c r="S66" s="5"/>
      <c r="T66" s="4"/>
      <c r="U66" s="4"/>
      <c r="V66" s="4"/>
      <c r="W66" s="4"/>
      <c r="X66" s="4"/>
      <c r="Y66" s="124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  <c r="CH66" s="9"/>
      <c r="CI66" s="9"/>
      <c r="CJ66" s="9"/>
      <c r="CK66" s="9"/>
      <c r="CL66" s="9"/>
      <c r="CM66" s="9"/>
      <c r="CN66" s="9"/>
      <c r="CO66" s="9"/>
      <c r="CP66" s="9"/>
      <c r="CQ66" s="9"/>
      <c r="CR66" s="9"/>
      <c r="CS66" s="9"/>
      <c r="CT66" s="9"/>
      <c r="CU66" s="9"/>
      <c r="CV66" s="9"/>
      <c r="CW66" s="9"/>
      <c r="CX66" s="9"/>
      <c r="CY66" s="9"/>
      <c r="CZ66" s="9"/>
      <c r="DA66" s="9"/>
      <c r="DB66" s="9"/>
      <c r="DC66" s="9"/>
      <c r="DD66" s="9"/>
      <c r="DE66" s="9"/>
      <c r="DF66" s="9"/>
      <c r="DG66" s="9"/>
      <c r="DH66" s="9"/>
      <c r="DI66" s="9"/>
      <c r="DJ66" s="9"/>
      <c r="DK66" s="9"/>
      <c r="DL66" s="9"/>
      <c r="DM66" s="8"/>
      <c r="DN66" s="8"/>
      <c r="DO66" s="8"/>
      <c r="DP66" s="8"/>
      <c r="DQ66" s="8"/>
      <c r="DR66" s="8"/>
      <c r="DS66" s="8"/>
      <c r="DT66" s="8"/>
      <c r="DU66" s="8"/>
      <c r="DV66" s="8"/>
      <c r="DW66" s="8"/>
      <c r="DX66" s="8"/>
      <c r="DY66" s="8"/>
      <c r="DZ66" s="8"/>
      <c r="EA66" s="8"/>
      <c r="EB66" s="8"/>
      <c r="EC66" s="8"/>
      <c r="ED66" s="8"/>
      <c r="EE66" s="8"/>
      <c r="EF66" s="8"/>
      <c r="EG66" s="8"/>
      <c r="EH66" s="8"/>
      <c r="EI66" s="8"/>
      <c r="EJ66" s="8"/>
      <c r="EK66" s="8"/>
      <c r="EL66" s="8"/>
      <c r="EM66" s="8"/>
      <c r="EN66" s="8"/>
      <c r="EO66" s="18"/>
      <c r="EP66" s="18"/>
      <c r="EQ66" s="17"/>
      <c r="ER66" s="17"/>
      <c r="ES66" s="17"/>
      <c r="ET66" s="17"/>
      <c r="EU66" s="17"/>
      <c r="EV66" s="17"/>
      <c r="EW66" s="17"/>
      <c r="EX66" s="17"/>
      <c r="EY66" s="17"/>
      <c r="EZ66" s="17"/>
      <c r="FA66" s="17"/>
      <c r="FB66" s="17"/>
      <c r="FC66" s="17"/>
      <c r="FD66" s="17"/>
      <c r="FE66" s="17"/>
      <c r="FF66" s="17"/>
      <c r="FG66" s="17"/>
      <c r="FH66" s="17"/>
      <c r="FI66" s="17"/>
      <c r="FJ66" s="17"/>
      <c r="FK66" s="17"/>
      <c r="FL66" s="17"/>
    </row>
    <row r="67" spans="1:168" ht="18" x14ac:dyDescent="0.3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5"/>
      <c r="T67" s="4"/>
      <c r="U67" s="4"/>
      <c r="V67" s="4"/>
      <c r="W67" s="4"/>
      <c r="X67" s="4"/>
      <c r="Y67" s="124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  <c r="CH67" s="9"/>
      <c r="CI67" s="9"/>
      <c r="CJ67" s="9"/>
      <c r="CK67" s="9"/>
      <c r="CL67" s="9"/>
      <c r="CM67" s="9"/>
      <c r="CN67" s="9"/>
      <c r="CO67" s="9"/>
      <c r="CP67" s="9"/>
      <c r="CQ67" s="9"/>
      <c r="CR67" s="9"/>
      <c r="CS67" s="9"/>
      <c r="CT67" s="9"/>
      <c r="CU67" s="9"/>
      <c r="CV67" s="9"/>
      <c r="CW67" s="9"/>
      <c r="CX67" s="9"/>
      <c r="CY67" s="9"/>
      <c r="CZ67" s="9"/>
      <c r="DA67" s="9"/>
      <c r="DB67" s="9"/>
      <c r="DC67" s="9"/>
      <c r="DD67" s="9"/>
      <c r="DE67" s="9"/>
      <c r="DF67" s="9"/>
      <c r="DG67" s="9"/>
      <c r="DH67" s="9"/>
      <c r="DI67" s="9"/>
      <c r="DJ67" s="9"/>
      <c r="DK67" s="9"/>
      <c r="DL67" s="9"/>
      <c r="DM67" s="8"/>
      <c r="DN67" s="8"/>
      <c r="DO67" s="8"/>
      <c r="DP67" s="8"/>
      <c r="DQ67" s="8"/>
      <c r="DR67" s="8"/>
      <c r="DS67" s="8"/>
      <c r="DT67" s="8"/>
      <c r="DU67" s="8"/>
      <c r="DV67" s="8"/>
      <c r="DW67" s="8"/>
      <c r="DX67" s="8"/>
      <c r="DY67" s="8"/>
      <c r="DZ67" s="8"/>
      <c r="EA67" s="8"/>
      <c r="EB67" s="8"/>
      <c r="EC67" s="8"/>
      <c r="ED67" s="8"/>
      <c r="EE67" s="8"/>
      <c r="EF67" s="8"/>
      <c r="EG67" s="8"/>
      <c r="EH67" s="8"/>
      <c r="EI67" s="8"/>
      <c r="EJ67" s="8"/>
      <c r="EK67" s="8"/>
      <c r="EL67" s="8"/>
      <c r="EM67" s="8"/>
      <c r="EN67" s="8"/>
      <c r="EO67" s="18"/>
      <c r="EP67" s="18"/>
      <c r="EQ67" s="17"/>
      <c r="ER67" s="17"/>
      <c r="ES67" s="17"/>
      <c r="ET67" s="17"/>
      <c r="EU67" s="17"/>
      <c r="EV67" s="17"/>
      <c r="EW67" s="17"/>
      <c r="EX67" s="17"/>
      <c r="EY67" s="17"/>
      <c r="EZ67" s="17"/>
      <c r="FA67" s="17"/>
      <c r="FB67" s="17"/>
      <c r="FC67" s="17"/>
      <c r="FD67" s="17"/>
      <c r="FE67" s="17"/>
      <c r="FF67" s="17"/>
      <c r="FG67" s="17"/>
      <c r="FH67" s="17"/>
      <c r="FI67" s="17"/>
      <c r="FJ67" s="17"/>
      <c r="FK67" s="17"/>
      <c r="FL67" s="17"/>
    </row>
    <row r="68" spans="1:168" ht="18" x14ac:dyDescent="0.3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5"/>
      <c r="T68" s="4"/>
      <c r="U68" s="4"/>
      <c r="V68" s="4"/>
      <c r="W68" s="4"/>
      <c r="X68" s="4"/>
      <c r="Y68" s="124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  <c r="CK68" s="9"/>
      <c r="CL68" s="9"/>
      <c r="CM68" s="9"/>
      <c r="CN68" s="9"/>
      <c r="CO68" s="9"/>
      <c r="CP68" s="9"/>
      <c r="CQ68" s="9"/>
      <c r="CR68" s="9"/>
      <c r="CS68" s="9"/>
      <c r="CT68" s="9"/>
      <c r="CU68" s="9"/>
      <c r="CV68" s="9"/>
      <c r="CW68" s="9"/>
      <c r="CX68" s="9"/>
      <c r="CY68" s="9"/>
      <c r="CZ68" s="9"/>
      <c r="DA68" s="9"/>
      <c r="DB68" s="9"/>
      <c r="DC68" s="9"/>
      <c r="DD68" s="9"/>
      <c r="DE68" s="9"/>
      <c r="DF68" s="9"/>
      <c r="DG68" s="9"/>
      <c r="DH68" s="9"/>
      <c r="DI68" s="9"/>
      <c r="DJ68" s="9"/>
      <c r="DK68" s="9"/>
      <c r="DL68" s="9"/>
      <c r="DM68" s="8"/>
      <c r="DN68" s="8"/>
      <c r="DO68" s="8"/>
      <c r="DP68" s="8"/>
      <c r="DQ68" s="8"/>
      <c r="DR68" s="8"/>
      <c r="DS68" s="8"/>
      <c r="DT68" s="8"/>
      <c r="DU68" s="8"/>
      <c r="DV68" s="8"/>
      <c r="DW68" s="8"/>
      <c r="DX68" s="8"/>
      <c r="DY68" s="8"/>
      <c r="DZ68" s="8"/>
      <c r="EA68" s="8"/>
      <c r="EB68" s="8"/>
      <c r="EC68" s="8"/>
      <c r="ED68" s="8"/>
      <c r="EE68" s="8"/>
      <c r="EF68" s="8"/>
      <c r="EG68" s="8"/>
      <c r="EH68" s="8"/>
      <c r="EI68" s="8"/>
      <c r="EJ68" s="8"/>
      <c r="EK68" s="8"/>
      <c r="EL68" s="8"/>
      <c r="EM68" s="8"/>
      <c r="EN68" s="8"/>
      <c r="EO68" s="15"/>
      <c r="EP68" s="15"/>
      <c r="EQ68" s="14"/>
      <c r="ER68" s="14"/>
      <c r="ES68" s="14"/>
      <c r="ET68" s="14"/>
      <c r="EU68" s="14"/>
      <c r="EV68" s="14"/>
      <c r="EW68" s="14"/>
      <c r="EX68" s="14"/>
      <c r="EY68" s="14"/>
      <c r="EZ68" s="14"/>
      <c r="FA68" s="14"/>
      <c r="FB68" s="14"/>
      <c r="FC68" s="14"/>
      <c r="FD68" s="14"/>
      <c r="FE68" s="14"/>
      <c r="FF68" s="14"/>
      <c r="FG68" s="14"/>
      <c r="FH68" s="14"/>
      <c r="FI68" s="14"/>
      <c r="FJ68" s="14"/>
      <c r="FK68" s="14"/>
      <c r="FL68" s="14"/>
    </row>
    <row r="69" spans="1:168" ht="18" x14ac:dyDescent="0.3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5"/>
      <c r="T69" s="4"/>
      <c r="U69" s="4"/>
      <c r="V69" s="4"/>
      <c r="W69" s="4"/>
      <c r="X69" s="4"/>
      <c r="Y69" s="124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9"/>
      <c r="CG69" s="9"/>
      <c r="CH69" s="9"/>
      <c r="CI69" s="9"/>
      <c r="CJ69" s="9"/>
      <c r="CK69" s="9"/>
      <c r="CL69" s="9"/>
      <c r="CM69" s="9"/>
      <c r="CN69" s="9"/>
      <c r="CO69" s="9"/>
      <c r="CP69" s="9"/>
      <c r="CQ69" s="9"/>
      <c r="CR69" s="9"/>
      <c r="CS69" s="9"/>
      <c r="CT69" s="9"/>
      <c r="CU69" s="9"/>
      <c r="CV69" s="9"/>
      <c r="CW69" s="9"/>
      <c r="CX69" s="9"/>
      <c r="CY69" s="9"/>
      <c r="CZ69" s="9"/>
      <c r="DA69" s="9"/>
      <c r="DB69" s="9"/>
      <c r="DC69" s="9"/>
      <c r="DD69" s="9"/>
      <c r="DE69" s="9"/>
      <c r="DF69" s="9"/>
      <c r="DG69" s="9"/>
      <c r="DH69" s="9"/>
      <c r="DI69" s="9"/>
      <c r="DJ69" s="9"/>
      <c r="DK69" s="9"/>
      <c r="DL69" s="9"/>
      <c r="DM69" s="8"/>
      <c r="DN69" s="8"/>
      <c r="DO69" s="8"/>
      <c r="DP69" s="8"/>
      <c r="DQ69" s="8"/>
      <c r="DR69" s="8"/>
      <c r="DS69" s="8"/>
      <c r="DT69" s="8"/>
      <c r="DU69" s="8"/>
      <c r="DV69" s="8"/>
      <c r="DW69" s="8"/>
      <c r="DX69" s="8"/>
      <c r="DY69" s="8"/>
      <c r="DZ69" s="8"/>
      <c r="EA69" s="8"/>
      <c r="EB69" s="8"/>
      <c r="EC69" s="8"/>
      <c r="ED69" s="8"/>
      <c r="EE69" s="8"/>
      <c r="EF69" s="8"/>
      <c r="EG69" s="8"/>
      <c r="EH69" s="8"/>
      <c r="EI69" s="8"/>
      <c r="EJ69" s="8"/>
      <c r="EK69" s="8"/>
      <c r="EL69" s="8"/>
      <c r="EM69" s="8"/>
      <c r="EN69" s="8"/>
      <c r="EO69" s="15"/>
      <c r="EP69" s="15"/>
      <c r="EQ69" s="14"/>
      <c r="ER69" s="14"/>
      <c r="ES69" s="14"/>
      <c r="ET69" s="14"/>
      <c r="EU69" s="14"/>
      <c r="EV69" s="14"/>
      <c r="EW69" s="14"/>
      <c r="EX69" s="14"/>
      <c r="EY69" s="14"/>
      <c r="EZ69" s="14"/>
      <c r="FA69" s="14"/>
      <c r="FB69" s="14"/>
      <c r="FC69" s="14"/>
      <c r="FD69" s="14"/>
      <c r="FE69" s="14"/>
      <c r="FF69" s="14"/>
      <c r="FG69" s="14"/>
      <c r="FH69" s="14"/>
      <c r="FI69" s="14"/>
      <c r="FJ69" s="14"/>
      <c r="FK69" s="14"/>
      <c r="FL69" s="14"/>
    </row>
    <row r="70" spans="1:168" ht="18" x14ac:dyDescent="0.3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5"/>
      <c r="T70" s="4"/>
      <c r="U70" s="4"/>
      <c r="V70" s="4"/>
      <c r="W70" s="4"/>
      <c r="X70" s="4"/>
      <c r="Y70" s="124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  <c r="CH70" s="9"/>
      <c r="CI70" s="9"/>
      <c r="CJ70" s="9"/>
      <c r="CK70" s="9"/>
      <c r="CL70" s="9"/>
      <c r="CM70" s="9"/>
      <c r="CN70" s="9"/>
      <c r="CO70" s="9"/>
      <c r="CP70" s="9"/>
      <c r="CQ70" s="9"/>
      <c r="CR70" s="9"/>
      <c r="CS70" s="9"/>
      <c r="CT70" s="9"/>
      <c r="CU70" s="9"/>
      <c r="CV70" s="9"/>
      <c r="CW70" s="9"/>
      <c r="CX70" s="9"/>
      <c r="CY70" s="9"/>
      <c r="CZ70" s="9"/>
      <c r="DA70" s="9"/>
      <c r="DB70" s="9"/>
      <c r="DC70" s="9"/>
      <c r="DD70" s="9"/>
      <c r="DE70" s="9"/>
      <c r="DF70" s="9"/>
      <c r="DG70" s="9"/>
      <c r="DH70" s="9"/>
      <c r="DI70" s="9"/>
      <c r="DJ70" s="9"/>
      <c r="DK70" s="9"/>
      <c r="DL70" s="9"/>
      <c r="DM70" s="8"/>
      <c r="DN70" s="8"/>
      <c r="DO70" s="8"/>
      <c r="DP70" s="8"/>
      <c r="DQ70" s="8"/>
      <c r="DR70" s="8"/>
      <c r="DS70" s="8"/>
      <c r="DT70" s="8"/>
      <c r="DU70" s="8"/>
      <c r="DV70" s="8"/>
      <c r="DW70" s="8"/>
      <c r="DX70" s="8"/>
      <c r="DY70" s="8"/>
      <c r="DZ70" s="8"/>
      <c r="EA70" s="8"/>
      <c r="EB70" s="8"/>
      <c r="EC70" s="8"/>
      <c r="ED70" s="8"/>
      <c r="EE70" s="8"/>
      <c r="EF70" s="8"/>
      <c r="EG70" s="8"/>
      <c r="EH70" s="8"/>
      <c r="EI70" s="8"/>
      <c r="EJ70" s="8"/>
      <c r="EK70" s="8"/>
      <c r="EL70" s="8"/>
      <c r="EM70" s="8"/>
      <c r="EN70" s="8"/>
      <c r="EO70" s="18"/>
      <c r="EP70" s="18"/>
      <c r="EQ70" s="17"/>
      <c r="ER70" s="17"/>
      <c r="ES70" s="17"/>
      <c r="ET70" s="17"/>
      <c r="EU70" s="17"/>
      <c r="EV70" s="17"/>
      <c r="EW70" s="17"/>
      <c r="EX70" s="17"/>
      <c r="EY70" s="17"/>
      <c r="EZ70" s="17"/>
      <c r="FA70" s="17"/>
      <c r="FB70" s="17"/>
      <c r="FC70" s="17"/>
      <c r="FD70" s="17"/>
      <c r="FE70" s="17"/>
      <c r="FF70" s="17"/>
      <c r="FG70" s="17"/>
      <c r="FH70" s="17"/>
      <c r="FI70" s="17"/>
      <c r="FJ70" s="17"/>
      <c r="FK70" s="17"/>
      <c r="FL70" s="17"/>
    </row>
    <row r="71" spans="1:168" ht="18" x14ac:dyDescent="0.3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5"/>
      <c r="T71" s="4"/>
      <c r="U71" s="4"/>
      <c r="V71" s="4"/>
      <c r="W71" s="4"/>
      <c r="X71" s="4"/>
      <c r="Y71" s="124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/>
      <c r="CE71" s="9"/>
      <c r="CF71" s="9"/>
      <c r="CG71" s="9"/>
      <c r="CH71" s="9"/>
      <c r="CI71" s="9"/>
      <c r="CJ71" s="9"/>
      <c r="CK71" s="9"/>
      <c r="CL71" s="9"/>
      <c r="CM71" s="9"/>
      <c r="CN71" s="9"/>
      <c r="CO71" s="9"/>
      <c r="CP71" s="9"/>
      <c r="CQ71" s="9"/>
      <c r="CR71" s="9"/>
      <c r="CS71" s="9"/>
      <c r="CT71" s="9"/>
      <c r="CU71" s="9"/>
      <c r="CV71" s="9"/>
      <c r="CW71" s="9"/>
      <c r="CX71" s="9"/>
      <c r="CY71" s="9"/>
      <c r="CZ71" s="9"/>
      <c r="DA71" s="9"/>
      <c r="DB71" s="9"/>
      <c r="DC71" s="9"/>
      <c r="DD71" s="9"/>
      <c r="DE71" s="9"/>
      <c r="DF71" s="9"/>
      <c r="DG71" s="9"/>
      <c r="DH71" s="9"/>
      <c r="DI71" s="9"/>
      <c r="DJ71" s="9"/>
      <c r="DK71" s="9"/>
      <c r="DL71" s="9"/>
      <c r="DM71" s="8"/>
      <c r="DN71" s="8"/>
      <c r="DO71" s="8"/>
      <c r="DP71" s="8"/>
      <c r="DQ71" s="8"/>
      <c r="DR71" s="8"/>
      <c r="DS71" s="8"/>
      <c r="DT71" s="8"/>
      <c r="DU71" s="8"/>
      <c r="DV71" s="8"/>
      <c r="DW71" s="8"/>
      <c r="DX71" s="8"/>
      <c r="DY71" s="8"/>
      <c r="DZ71" s="8"/>
      <c r="EA71" s="8"/>
      <c r="EB71" s="8"/>
      <c r="EC71" s="8"/>
      <c r="ED71" s="8"/>
      <c r="EE71" s="8"/>
      <c r="EF71" s="8"/>
      <c r="EG71" s="8"/>
      <c r="EH71" s="8"/>
      <c r="EI71" s="8"/>
      <c r="EJ71" s="8"/>
      <c r="EK71" s="8"/>
      <c r="EL71" s="8"/>
      <c r="EM71" s="8"/>
      <c r="EN71" s="8"/>
      <c r="EO71" s="18"/>
      <c r="EP71" s="18"/>
      <c r="EQ71" s="17"/>
      <c r="ER71" s="17"/>
      <c r="ES71" s="17"/>
      <c r="ET71" s="17"/>
      <c r="EU71" s="17"/>
      <c r="EV71" s="17"/>
      <c r="EW71" s="17"/>
      <c r="EX71" s="17"/>
      <c r="EY71" s="17"/>
      <c r="EZ71" s="17"/>
      <c r="FA71" s="17"/>
      <c r="FB71" s="17"/>
      <c r="FC71" s="17"/>
      <c r="FD71" s="17"/>
      <c r="FE71" s="17"/>
      <c r="FF71" s="17"/>
      <c r="FG71" s="17"/>
      <c r="FH71" s="17"/>
      <c r="FI71" s="17"/>
      <c r="FJ71" s="17"/>
      <c r="FK71" s="17"/>
      <c r="FL71" s="17"/>
    </row>
    <row r="72" spans="1:168" ht="18" x14ac:dyDescent="0.3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5"/>
      <c r="T72" s="4"/>
      <c r="U72" s="4"/>
      <c r="V72" s="4"/>
      <c r="W72" s="4"/>
      <c r="X72" s="4"/>
      <c r="Y72" s="124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  <c r="CD72" s="9"/>
      <c r="CE72" s="9"/>
      <c r="CF72" s="9"/>
      <c r="CG72" s="9"/>
      <c r="CH72" s="9"/>
      <c r="CI72" s="9"/>
      <c r="CJ72" s="9"/>
      <c r="CK72" s="9"/>
      <c r="CL72" s="9"/>
      <c r="CM72" s="9"/>
      <c r="CN72" s="9"/>
      <c r="CO72" s="9"/>
      <c r="CP72" s="9"/>
      <c r="CQ72" s="9"/>
      <c r="CR72" s="9"/>
      <c r="CS72" s="9"/>
      <c r="CT72" s="9"/>
      <c r="CU72" s="9"/>
      <c r="CV72" s="9"/>
      <c r="CW72" s="9"/>
      <c r="CX72" s="9"/>
      <c r="CY72" s="9"/>
      <c r="CZ72" s="9"/>
      <c r="DA72" s="9"/>
      <c r="DB72" s="9"/>
      <c r="DC72" s="9"/>
      <c r="DD72" s="9"/>
      <c r="DE72" s="9"/>
      <c r="DF72" s="9"/>
      <c r="DG72" s="9"/>
      <c r="DH72" s="9"/>
      <c r="DI72" s="9"/>
      <c r="DJ72" s="9"/>
      <c r="DK72" s="9"/>
      <c r="DL72" s="9"/>
      <c r="DM72" s="8"/>
      <c r="DN72" s="8"/>
      <c r="DO72" s="8"/>
      <c r="DP72" s="8"/>
      <c r="DQ72" s="8"/>
      <c r="DR72" s="8"/>
      <c r="DS72" s="8"/>
      <c r="DT72" s="8"/>
      <c r="DU72" s="8"/>
      <c r="DV72" s="8"/>
      <c r="DW72" s="8"/>
      <c r="DX72" s="8"/>
      <c r="DY72" s="8"/>
      <c r="DZ72" s="8"/>
      <c r="EA72" s="8"/>
      <c r="EB72" s="8"/>
      <c r="EC72" s="8"/>
      <c r="ED72" s="8"/>
      <c r="EE72" s="8"/>
      <c r="EF72" s="8"/>
      <c r="EG72" s="8"/>
      <c r="EH72" s="8"/>
      <c r="EI72" s="8"/>
      <c r="EJ72" s="8"/>
      <c r="EK72" s="8"/>
      <c r="EL72" s="8"/>
      <c r="EM72" s="8"/>
      <c r="EN72" s="8"/>
      <c r="EO72" s="15"/>
      <c r="EP72" s="15"/>
      <c r="EQ72" s="14"/>
      <c r="ER72" s="14"/>
      <c r="ES72" s="14"/>
      <c r="ET72" s="14"/>
      <c r="EU72" s="14"/>
      <c r="EV72" s="14"/>
      <c r="EW72" s="14"/>
      <c r="EX72" s="14"/>
      <c r="EY72" s="14"/>
      <c r="EZ72" s="14"/>
      <c r="FA72" s="14"/>
      <c r="FB72" s="14"/>
      <c r="FC72" s="14"/>
      <c r="FD72" s="14"/>
      <c r="FE72" s="14"/>
      <c r="FF72" s="14"/>
      <c r="FG72" s="14"/>
      <c r="FH72" s="14"/>
      <c r="FI72" s="14"/>
      <c r="FJ72" s="14"/>
      <c r="FK72" s="14"/>
      <c r="FL72" s="14"/>
    </row>
    <row r="73" spans="1:168" ht="18" x14ac:dyDescent="0.3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5"/>
      <c r="T73" s="4"/>
      <c r="U73" s="4"/>
      <c r="V73" s="4"/>
      <c r="W73" s="4"/>
      <c r="X73" s="4"/>
      <c r="Y73" s="124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  <c r="CG73" s="9"/>
      <c r="CH73" s="9"/>
      <c r="CI73" s="9"/>
      <c r="CJ73" s="9"/>
      <c r="CK73" s="9"/>
      <c r="CL73" s="9"/>
      <c r="CM73" s="9"/>
      <c r="CN73" s="9"/>
      <c r="CO73" s="9"/>
      <c r="CP73" s="9"/>
      <c r="CQ73" s="9"/>
      <c r="CR73" s="9"/>
      <c r="CS73" s="9"/>
      <c r="CT73" s="9"/>
      <c r="CU73" s="9"/>
      <c r="CV73" s="9"/>
      <c r="CW73" s="9"/>
      <c r="CX73" s="9"/>
      <c r="CY73" s="9"/>
      <c r="CZ73" s="9"/>
      <c r="DA73" s="9"/>
      <c r="DB73" s="9"/>
      <c r="DC73" s="9"/>
      <c r="DD73" s="9"/>
      <c r="DE73" s="9"/>
      <c r="DF73" s="9"/>
      <c r="DG73" s="9"/>
      <c r="DH73" s="9"/>
      <c r="DI73" s="9"/>
      <c r="DJ73" s="9"/>
      <c r="DK73" s="9"/>
      <c r="DL73" s="9"/>
      <c r="DM73" s="8"/>
      <c r="DN73" s="8"/>
      <c r="DO73" s="8"/>
      <c r="DP73" s="8"/>
      <c r="DQ73" s="8"/>
      <c r="DR73" s="8"/>
      <c r="DS73" s="8"/>
      <c r="DT73" s="8"/>
      <c r="DU73" s="8"/>
      <c r="DV73" s="8"/>
      <c r="DW73" s="8"/>
      <c r="DX73" s="8"/>
      <c r="DY73" s="8"/>
      <c r="DZ73" s="8"/>
      <c r="EA73" s="8"/>
      <c r="EB73" s="8"/>
      <c r="EC73" s="8"/>
      <c r="ED73" s="8"/>
      <c r="EE73" s="8"/>
      <c r="EF73" s="8"/>
      <c r="EG73" s="8"/>
      <c r="EH73" s="8"/>
      <c r="EI73" s="8"/>
      <c r="EJ73" s="8"/>
      <c r="EK73" s="8"/>
      <c r="EL73" s="8"/>
      <c r="EM73" s="8"/>
      <c r="EN73" s="8"/>
      <c r="EO73" s="15"/>
      <c r="EP73" s="15"/>
      <c r="EQ73" s="14"/>
      <c r="ER73" s="14"/>
      <c r="ES73" s="14"/>
      <c r="ET73" s="14"/>
      <c r="EU73" s="14"/>
      <c r="EV73" s="14"/>
      <c r="EW73" s="14"/>
      <c r="EX73" s="14"/>
      <c r="EY73" s="14"/>
      <c r="EZ73" s="14"/>
      <c r="FA73" s="14"/>
      <c r="FB73" s="14"/>
      <c r="FC73" s="14"/>
      <c r="FD73" s="14"/>
      <c r="FE73" s="14"/>
      <c r="FF73" s="14"/>
      <c r="FG73" s="14"/>
      <c r="FH73" s="14"/>
      <c r="FI73" s="14"/>
      <c r="FJ73" s="14"/>
      <c r="FK73" s="14"/>
      <c r="FL73" s="14"/>
    </row>
    <row r="74" spans="1:168" ht="18" x14ac:dyDescent="0.3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5"/>
      <c r="T74" s="4"/>
      <c r="U74" s="4"/>
      <c r="V74" s="4"/>
      <c r="W74" s="4"/>
      <c r="X74" s="4"/>
      <c r="Y74" s="124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  <c r="CY74" s="9"/>
      <c r="CZ74" s="9"/>
      <c r="DA74" s="9"/>
      <c r="DB74" s="9"/>
      <c r="DC74" s="9"/>
      <c r="DD74" s="9"/>
      <c r="DE74" s="9"/>
      <c r="DF74" s="9"/>
      <c r="DG74" s="9"/>
      <c r="DH74" s="9"/>
      <c r="DI74" s="9"/>
      <c r="DJ74" s="9"/>
      <c r="DK74" s="9"/>
      <c r="DL74" s="9"/>
      <c r="DM74" s="8"/>
      <c r="DN74" s="8"/>
      <c r="DO74" s="8"/>
      <c r="DP74" s="8"/>
      <c r="DQ74" s="8"/>
      <c r="DR74" s="8"/>
      <c r="DS74" s="8"/>
      <c r="DT74" s="8"/>
      <c r="DU74" s="8"/>
      <c r="DV74" s="8"/>
      <c r="DW74" s="8"/>
      <c r="DX74" s="8"/>
      <c r="DY74" s="8"/>
      <c r="DZ74" s="8"/>
      <c r="EA74" s="8"/>
      <c r="EB74" s="8"/>
      <c r="EC74" s="8"/>
      <c r="ED74" s="8"/>
      <c r="EE74" s="8"/>
      <c r="EF74" s="8"/>
      <c r="EG74" s="8"/>
      <c r="EH74" s="8"/>
      <c r="EI74" s="8"/>
      <c r="EJ74" s="8"/>
      <c r="EK74" s="8"/>
      <c r="EL74" s="8"/>
      <c r="EM74" s="8"/>
      <c r="EN74" s="8"/>
      <c r="EO74" s="18"/>
      <c r="EP74" s="18"/>
      <c r="EQ74" s="17"/>
      <c r="ER74" s="17"/>
      <c r="ES74" s="17"/>
      <c r="ET74" s="17"/>
      <c r="EU74" s="17"/>
      <c r="EV74" s="17"/>
      <c r="EW74" s="17"/>
      <c r="EX74" s="17"/>
      <c r="EY74" s="17"/>
      <c r="EZ74" s="17"/>
      <c r="FA74" s="17"/>
      <c r="FB74" s="17"/>
      <c r="FC74" s="17"/>
      <c r="FD74" s="17"/>
      <c r="FE74" s="17"/>
      <c r="FF74" s="17"/>
      <c r="FG74" s="17"/>
      <c r="FH74" s="17"/>
      <c r="FI74" s="17"/>
      <c r="FJ74" s="17"/>
      <c r="FK74" s="17"/>
      <c r="FL74" s="17"/>
    </row>
    <row r="75" spans="1:168" ht="18" x14ac:dyDescent="0.3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5"/>
      <c r="T75" s="4"/>
      <c r="U75" s="4"/>
      <c r="V75" s="4"/>
      <c r="W75" s="4"/>
      <c r="X75" s="4"/>
      <c r="Y75" s="124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  <c r="CY75" s="9"/>
      <c r="CZ75" s="9"/>
      <c r="DA75" s="9"/>
      <c r="DB75" s="9"/>
      <c r="DC75" s="9"/>
      <c r="DD75" s="9"/>
      <c r="DE75" s="9"/>
      <c r="DF75" s="9"/>
      <c r="DG75" s="9"/>
      <c r="DH75" s="9"/>
      <c r="DI75" s="9"/>
      <c r="DJ75" s="9"/>
      <c r="DK75" s="9"/>
      <c r="DL75" s="9"/>
      <c r="DM75" s="8"/>
      <c r="DN75" s="8"/>
      <c r="DO75" s="8"/>
      <c r="DP75" s="8"/>
      <c r="DQ75" s="8"/>
      <c r="DR75" s="8"/>
      <c r="DS75" s="8"/>
      <c r="DT75" s="8"/>
      <c r="DU75" s="8"/>
      <c r="DV75" s="8"/>
      <c r="DW75" s="8"/>
      <c r="DX75" s="8"/>
      <c r="DY75" s="8"/>
      <c r="DZ75" s="8"/>
      <c r="EA75" s="8"/>
      <c r="EB75" s="8"/>
      <c r="EC75" s="8"/>
      <c r="ED75" s="8"/>
      <c r="EE75" s="8"/>
      <c r="EF75" s="8"/>
      <c r="EG75" s="8"/>
      <c r="EH75" s="8"/>
      <c r="EI75" s="8"/>
      <c r="EJ75" s="8"/>
      <c r="EK75" s="8"/>
      <c r="EL75" s="8"/>
      <c r="EM75" s="8"/>
      <c r="EN75" s="8"/>
      <c r="EO75" s="18"/>
      <c r="EP75" s="18"/>
      <c r="EQ75" s="17"/>
      <c r="ER75" s="17"/>
      <c r="ES75" s="17"/>
      <c r="ET75" s="17"/>
      <c r="EU75" s="17"/>
      <c r="EV75" s="17"/>
      <c r="EW75" s="17"/>
      <c r="EX75" s="17"/>
      <c r="EY75" s="17"/>
      <c r="EZ75" s="17"/>
      <c r="FA75" s="17"/>
      <c r="FB75" s="17"/>
      <c r="FC75" s="17"/>
      <c r="FD75" s="17"/>
      <c r="FE75" s="17"/>
      <c r="FF75" s="17"/>
      <c r="FG75" s="17"/>
      <c r="FH75" s="17"/>
      <c r="FI75" s="17"/>
      <c r="FJ75" s="17"/>
      <c r="FK75" s="17"/>
      <c r="FL75" s="17"/>
    </row>
    <row r="76" spans="1:168" ht="18" x14ac:dyDescent="0.3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5"/>
      <c r="T76" s="4"/>
      <c r="U76" s="4"/>
      <c r="V76" s="4"/>
      <c r="W76" s="4"/>
      <c r="X76" s="4"/>
      <c r="Y76" s="124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9"/>
      <c r="CC76" s="9"/>
      <c r="CD76" s="9"/>
      <c r="CE76" s="9"/>
      <c r="CF76" s="9"/>
      <c r="CG76" s="9"/>
      <c r="CH76" s="9"/>
      <c r="CI76" s="9"/>
      <c r="CJ76" s="9"/>
      <c r="CK76" s="9"/>
      <c r="CL76" s="9"/>
      <c r="CM76" s="9"/>
      <c r="CN76" s="9"/>
      <c r="CO76" s="9"/>
      <c r="CP76" s="9"/>
      <c r="CQ76" s="9"/>
      <c r="CR76" s="9"/>
      <c r="CS76" s="9"/>
      <c r="CT76" s="9"/>
      <c r="CU76" s="9"/>
      <c r="CV76" s="9"/>
      <c r="CW76" s="9"/>
      <c r="CX76" s="9"/>
      <c r="CY76" s="9"/>
      <c r="CZ76" s="9"/>
      <c r="DA76" s="9"/>
      <c r="DB76" s="9"/>
      <c r="DC76" s="9"/>
      <c r="DD76" s="9"/>
      <c r="DE76" s="9"/>
      <c r="DF76" s="9"/>
      <c r="DG76" s="9"/>
      <c r="DH76" s="9"/>
      <c r="DI76" s="9"/>
      <c r="DJ76" s="9"/>
      <c r="DK76" s="9"/>
      <c r="DL76" s="9"/>
      <c r="DM76" s="8"/>
      <c r="DN76" s="8"/>
      <c r="DO76" s="8"/>
      <c r="DP76" s="8"/>
      <c r="DQ76" s="8"/>
      <c r="DR76" s="8"/>
      <c r="DS76" s="8"/>
      <c r="DT76" s="8"/>
      <c r="DU76" s="8"/>
      <c r="DV76" s="8"/>
      <c r="DW76" s="8"/>
      <c r="DX76" s="8"/>
      <c r="DY76" s="8"/>
      <c r="DZ76" s="8"/>
      <c r="EA76" s="8"/>
      <c r="EB76" s="8"/>
      <c r="EC76" s="8"/>
      <c r="ED76" s="8"/>
      <c r="EE76" s="8"/>
      <c r="EF76" s="8"/>
      <c r="EG76" s="8"/>
      <c r="EH76" s="8"/>
      <c r="EI76" s="8"/>
      <c r="EJ76" s="8"/>
      <c r="EK76" s="8"/>
      <c r="EL76" s="8"/>
      <c r="EM76" s="8"/>
      <c r="EN76" s="8"/>
      <c r="EO76" s="15"/>
      <c r="EP76" s="15"/>
      <c r="EQ76" s="14"/>
      <c r="ER76" s="14"/>
      <c r="ES76" s="14"/>
      <c r="ET76" s="14"/>
      <c r="EU76" s="14"/>
      <c r="EV76" s="14"/>
      <c r="EW76" s="14"/>
      <c r="EX76" s="14"/>
      <c r="EY76" s="14"/>
      <c r="EZ76" s="14"/>
      <c r="FA76" s="14"/>
      <c r="FB76" s="14"/>
      <c r="FC76" s="14"/>
      <c r="FD76" s="14"/>
      <c r="FE76" s="14"/>
      <c r="FF76" s="14"/>
      <c r="FG76" s="14"/>
      <c r="FH76" s="14"/>
      <c r="FI76" s="14"/>
      <c r="FJ76" s="14"/>
      <c r="FK76" s="14"/>
      <c r="FL76" s="14"/>
    </row>
    <row r="77" spans="1:168" ht="18" x14ac:dyDescent="0.3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5"/>
      <c r="T77" s="4"/>
      <c r="U77" s="4"/>
      <c r="V77" s="4"/>
      <c r="W77" s="4"/>
      <c r="X77" s="4"/>
      <c r="Y77" s="124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  <c r="CF77" s="9"/>
      <c r="CG77" s="9"/>
      <c r="CH77" s="9"/>
      <c r="CI77" s="9"/>
      <c r="CJ77" s="9"/>
      <c r="CK77" s="9"/>
      <c r="CL77" s="9"/>
      <c r="CM77" s="9"/>
      <c r="CN77" s="9"/>
      <c r="CO77" s="9"/>
      <c r="CP77" s="9"/>
      <c r="CQ77" s="9"/>
      <c r="CR77" s="9"/>
      <c r="CS77" s="9"/>
      <c r="CT77" s="9"/>
      <c r="CU77" s="9"/>
      <c r="CV77" s="9"/>
      <c r="CW77" s="9"/>
      <c r="CX77" s="9"/>
      <c r="CY77" s="9"/>
      <c r="CZ77" s="9"/>
      <c r="DA77" s="9"/>
      <c r="DB77" s="9"/>
      <c r="DC77" s="9"/>
      <c r="DD77" s="9"/>
      <c r="DE77" s="9"/>
      <c r="DF77" s="9"/>
      <c r="DG77" s="9"/>
      <c r="DH77" s="9"/>
      <c r="DI77" s="9"/>
      <c r="DJ77" s="9"/>
      <c r="DK77" s="9"/>
      <c r="DL77" s="9"/>
      <c r="DM77" s="8"/>
      <c r="DN77" s="8"/>
      <c r="DO77" s="8"/>
      <c r="DP77" s="8"/>
      <c r="DQ77" s="8"/>
      <c r="DR77" s="8"/>
      <c r="DS77" s="8"/>
      <c r="DT77" s="8"/>
      <c r="DU77" s="8"/>
      <c r="DV77" s="8"/>
      <c r="DW77" s="8"/>
      <c r="DX77" s="8"/>
      <c r="DY77" s="8"/>
      <c r="DZ77" s="8"/>
      <c r="EA77" s="8"/>
      <c r="EB77" s="8"/>
      <c r="EC77" s="8"/>
      <c r="ED77" s="8"/>
      <c r="EE77" s="8"/>
      <c r="EF77" s="8"/>
      <c r="EG77" s="8"/>
      <c r="EH77" s="8"/>
      <c r="EI77" s="8"/>
      <c r="EJ77" s="8"/>
      <c r="EK77" s="8"/>
      <c r="EL77" s="8"/>
      <c r="EM77" s="8"/>
      <c r="EN77" s="8"/>
      <c r="EO77" s="15"/>
      <c r="EP77" s="15"/>
      <c r="EQ77" s="14"/>
      <c r="ER77" s="14"/>
      <c r="ES77" s="14"/>
      <c r="ET77" s="14"/>
      <c r="EU77" s="14"/>
      <c r="EV77" s="14"/>
      <c r="EW77" s="14"/>
      <c r="EX77" s="14"/>
      <c r="EY77" s="14"/>
      <c r="EZ77" s="14"/>
      <c r="FA77" s="14"/>
      <c r="FB77" s="14"/>
      <c r="FC77" s="14"/>
      <c r="FD77" s="14"/>
      <c r="FE77" s="14"/>
      <c r="FF77" s="14"/>
      <c r="FG77" s="14"/>
      <c r="FH77" s="14"/>
      <c r="FI77" s="14"/>
      <c r="FJ77" s="14"/>
      <c r="FK77" s="14"/>
      <c r="FL77" s="14"/>
    </row>
    <row r="78" spans="1:168" ht="18" x14ac:dyDescent="0.3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5"/>
      <c r="T78" s="4"/>
      <c r="U78" s="4"/>
      <c r="V78" s="4"/>
      <c r="W78" s="4"/>
      <c r="X78" s="4"/>
      <c r="Y78" s="124"/>
      <c r="Z78" s="16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  <c r="CD78" s="9"/>
      <c r="CE78" s="9"/>
      <c r="CF78" s="9"/>
      <c r="CG78" s="9"/>
      <c r="CH78" s="9"/>
      <c r="CI78" s="9"/>
      <c r="CJ78" s="9"/>
      <c r="CK78" s="9"/>
      <c r="CL78" s="9"/>
      <c r="CM78" s="9"/>
      <c r="CN78" s="9"/>
      <c r="CO78" s="9"/>
      <c r="CP78" s="9"/>
      <c r="CQ78" s="9"/>
      <c r="CR78" s="9"/>
      <c r="CS78" s="9"/>
      <c r="CT78" s="9"/>
      <c r="CU78" s="9"/>
      <c r="CV78" s="9"/>
      <c r="CW78" s="9"/>
      <c r="CX78" s="9"/>
      <c r="CY78" s="9"/>
      <c r="CZ78" s="9"/>
      <c r="DA78" s="9"/>
      <c r="DB78" s="9"/>
      <c r="DC78" s="9"/>
      <c r="DD78" s="9"/>
      <c r="DE78" s="9"/>
      <c r="DF78" s="9"/>
      <c r="DG78" s="9"/>
      <c r="DH78" s="9"/>
      <c r="DI78" s="9"/>
      <c r="DJ78" s="9"/>
      <c r="DK78" s="9"/>
      <c r="DL78" s="9"/>
      <c r="DM78" s="8"/>
      <c r="DN78" s="8"/>
      <c r="DO78" s="8"/>
      <c r="DP78" s="8"/>
      <c r="DQ78" s="8"/>
      <c r="DR78" s="8"/>
      <c r="DS78" s="8"/>
      <c r="DT78" s="8"/>
      <c r="DU78" s="8"/>
      <c r="DV78" s="8"/>
      <c r="DW78" s="8"/>
      <c r="DX78" s="8"/>
      <c r="DY78" s="8"/>
      <c r="DZ78" s="8"/>
      <c r="EA78" s="8"/>
      <c r="EB78" s="8"/>
      <c r="EC78" s="8"/>
      <c r="ED78" s="8"/>
      <c r="EE78" s="8"/>
      <c r="EF78" s="8"/>
      <c r="EG78" s="8"/>
      <c r="EH78" s="8"/>
      <c r="EI78" s="8"/>
      <c r="EJ78" s="8"/>
      <c r="EK78" s="8"/>
      <c r="EL78" s="8"/>
      <c r="EM78" s="8"/>
      <c r="EN78" s="8"/>
      <c r="EO78" s="18"/>
      <c r="EP78" s="18"/>
      <c r="EQ78" s="17"/>
      <c r="ER78" s="17"/>
      <c r="ES78" s="17"/>
      <c r="ET78" s="17"/>
      <c r="EU78" s="17"/>
      <c r="EV78" s="17"/>
      <c r="EW78" s="17"/>
      <c r="EX78" s="17"/>
      <c r="EY78" s="17"/>
      <c r="EZ78" s="17"/>
      <c r="FA78" s="17"/>
      <c r="FB78" s="17"/>
      <c r="FC78" s="17"/>
      <c r="FD78" s="17"/>
      <c r="FE78" s="17"/>
      <c r="FF78" s="17"/>
      <c r="FG78" s="17"/>
      <c r="FH78" s="17"/>
      <c r="FI78" s="17"/>
      <c r="FJ78" s="17"/>
      <c r="FK78" s="17"/>
      <c r="FL78" s="17"/>
    </row>
    <row r="79" spans="1:168" ht="18" x14ac:dyDescent="0.3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5"/>
      <c r="T79" s="4"/>
      <c r="U79" s="4"/>
      <c r="V79" s="4"/>
      <c r="W79" s="4"/>
      <c r="X79" s="4"/>
      <c r="Y79" s="124"/>
      <c r="Z79" s="16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  <c r="CD79" s="9"/>
      <c r="CE79" s="9"/>
      <c r="CF79" s="9"/>
      <c r="CG79" s="9"/>
      <c r="CH79" s="9"/>
      <c r="CI79" s="9"/>
      <c r="CJ79" s="9"/>
      <c r="CK79" s="9"/>
      <c r="CL79" s="9"/>
      <c r="CM79" s="9"/>
      <c r="CN79" s="9"/>
      <c r="CO79" s="9"/>
      <c r="CP79" s="9"/>
      <c r="CQ79" s="9"/>
      <c r="CR79" s="9"/>
      <c r="CS79" s="9"/>
      <c r="CT79" s="9"/>
      <c r="CU79" s="9"/>
      <c r="CV79" s="9"/>
      <c r="CW79" s="9"/>
      <c r="CX79" s="9"/>
      <c r="CY79" s="9"/>
      <c r="CZ79" s="9"/>
      <c r="DA79" s="9"/>
      <c r="DB79" s="9"/>
      <c r="DC79" s="9"/>
      <c r="DD79" s="9"/>
      <c r="DE79" s="9"/>
      <c r="DF79" s="9"/>
      <c r="DG79" s="9"/>
      <c r="DH79" s="9"/>
      <c r="DI79" s="9"/>
      <c r="DJ79" s="9"/>
      <c r="DK79" s="9"/>
      <c r="DL79" s="9"/>
      <c r="DM79" s="8"/>
      <c r="DN79" s="8"/>
      <c r="DO79" s="8"/>
      <c r="DP79" s="8"/>
      <c r="DQ79" s="8"/>
      <c r="DR79" s="8"/>
      <c r="DS79" s="8"/>
      <c r="DT79" s="8"/>
      <c r="DU79" s="8"/>
      <c r="DV79" s="8"/>
      <c r="DW79" s="8"/>
      <c r="DX79" s="8"/>
      <c r="DY79" s="8"/>
      <c r="DZ79" s="8"/>
      <c r="EA79" s="8"/>
      <c r="EB79" s="8"/>
      <c r="EC79" s="8"/>
      <c r="ED79" s="8"/>
      <c r="EE79" s="8"/>
      <c r="EF79" s="8"/>
      <c r="EG79" s="8"/>
      <c r="EH79" s="8"/>
      <c r="EI79" s="8"/>
      <c r="EJ79" s="8"/>
      <c r="EK79" s="8"/>
      <c r="EL79" s="8"/>
      <c r="EM79" s="8"/>
      <c r="EN79" s="8"/>
      <c r="EO79" s="18"/>
      <c r="EP79" s="18"/>
      <c r="EQ79" s="17"/>
      <c r="ER79" s="17"/>
      <c r="ES79" s="17"/>
      <c r="ET79" s="17"/>
      <c r="EU79" s="17"/>
      <c r="EV79" s="17"/>
      <c r="EW79" s="17"/>
      <c r="EX79" s="17"/>
      <c r="EY79" s="17"/>
      <c r="EZ79" s="17"/>
      <c r="FA79" s="17"/>
      <c r="FB79" s="17"/>
      <c r="FC79" s="17"/>
      <c r="FD79" s="17"/>
      <c r="FE79" s="17"/>
      <c r="FF79" s="17"/>
      <c r="FG79" s="17"/>
      <c r="FH79" s="17"/>
      <c r="FI79" s="17"/>
      <c r="FJ79" s="17"/>
      <c r="FK79" s="17"/>
      <c r="FL79" s="17"/>
    </row>
    <row r="80" spans="1:168" ht="18" x14ac:dyDescent="0.3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5"/>
      <c r="T80" s="4"/>
      <c r="U80" s="4"/>
      <c r="V80" s="4"/>
      <c r="W80" s="4"/>
      <c r="X80" s="4"/>
      <c r="Y80" s="124"/>
      <c r="Z80" s="16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/>
      <c r="CC80" s="9"/>
      <c r="CD80" s="9"/>
      <c r="CE80" s="9"/>
      <c r="CF80" s="9"/>
      <c r="CG80" s="9"/>
      <c r="CH80" s="9"/>
      <c r="CI80" s="9"/>
      <c r="CJ80" s="9"/>
      <c r="CK80" s="9"/>
      <c r="CL80" s="9"/>
      <c r="CM80" s="9"/>
      <c r="CN80" s="9"/>
      <c r="CO80" s="9"/>
      <c r="CP80" s="9"/>
      <c r="CQ80" s="9"/>
      <c r="CR80" s="9"/>
      <c r="CS80" s="9"/>
      <c r="CT80" s="9"/>
      <c r="CU80" s="9"/>
      <c r="CV80" s="9"/>
      <c r="CW80" s="9"/>
      <c r="CX80" s="9"/>
      <c r="CY80" s="9"/>
      <c r="CZ80" s="9"/>
      <c r="DA80" s="9"/>
      <c r="DB80" s="9"/>
      <c r="DC80" s="9"/>
      <c r="DD80" s="9"/>
      <c r="DE80" s="9"/>
      <c r="DF80" s="9"/>
      <c r="DG80" s="9"/>
      <c r="DH80" s="9"/>
      <c r="DI80" s="9"/>
      <c r="DJ80" s="9"/>
      <c r="DK80" s="9"/>
      <c r="DL80" s="9"/>
      <c r="DM80" s="8"/>
      <c r="DN80" s="8"/>
      <c r="DO80" s="8"/>
      <c r="DP80" s="8"/>
      <c r="DQ80" s="8"/>
      <c r="DR80" s="8"/>
      <c r="DS80" s="8"/>
      <c r="DT80" s="8"/>
      <c r="DU80" s="8"/>
      <c r="DV80" s="8"/>
      <c r="DW80" s="8"/>
      <c r="DX80" s="8"/>
      <c r="DY80" s="8"/>
      <c r="DZ80" s="8"/>
      <c r="EA80" s="8"/>
      <c r="EB80" s="8"/>
      <c r="EC80" s="8"/>
      <c r="ED80" s="8"/>
      <c r="EE80" s="8"/>
      <c r="EF80" s="8"/>
      <c r="EG80" s="8"/>
      <c r="EH80" s="8"/>
      <c r="EI80" s="8"/>
      <c r="EJ80" s="8"/>
      <c r="EK80" s="8"/>
      <c r="EL80" s="8"/>
      <c r="EM80" s="8"/>
      <c r="EN80" s="8"/>
      <c r="EO80" s="15"/>
      <c r="EP80" s="15"/>
      <c r="EQ80" s="14"/>
      <c r="ER80" s="14"/>
      <c r="ES80" s="14"/>
      <c r="ET80" s="14"/>
      <c r="EU80" s="14"/>
      <c r="EV80" s="14"/>
      <c r="EW80" s="14"/>
      <c r="EX80" s="14"/>
      <c r="EY80" s="14"/>
      <c r="EZ80" s="14"/>
      <c r="FA80" s="14"/>
      <c r="FB80" s="14"/>
      <c r="FC80" s="14"/>
      <c r="FD80" s="14"/>
      <c r="FE80" s="14"/>
      <c r="FF80" s="14"/>
      <c r="FG80" s="14"/>
      <c r="FH80" s="14"/>
      <c r="FI80" s="14"/>
      <c r="FJ80" s="14"/>
      <c r="FK80" s="14"/>
      <c r="FL80" s="14"/>
    </row>
    <row r="81" spans="1:168" ht="18" x14ac:dyDescent="0.3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5"/>
      <c r="T81" s="4"/>
      <c r="U81" s="4"/>
      <c r="V81" s="4"/>
      <c r="W81" s="4"/>
      <c r="X81" s="4"/>
      <c r="Y81" s="124"/>
      <c r="Z81" s="16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  <c r="CD81" s="9"/>
      <c r="CE81" s="9"/>
      <c r="CF81" s="9"/>
      <c r="CG81" s="9"/>
      <c r="CH81" s="9"/>
      <c r="CI81" s="9"/>
      <c r="CJ81" s="9"/>
      <c r="CK81" s="9"/>
      <c r="CL81" s="9"/>
      <c r="CM81" s="9"/>
      <c r="CN81" s="9"/>
      <c r="CO81" s="9"/>
      <c r="CP81" s="9"/>
      <c r="CQ81" s="9"/>
      <c r="CR81" s="9"/>
      <c r="CS81" s="9"/>
      <c r="CT81" s="9"/>
      <c r="CU81" s="9"/>
      <c r="CV81" s="9"/>
      <c r="CW81" s="9"/>
      <c r="CX81" s="9"/>
      <c r="CY81" s="9"/>
      <c r="CZ81" s="9"/>
      <c r="DA81" s="9"/>
      <c r="DB81" s="9"/>
      <c r="DC81" s="9"/>
      <c r="DD81" s="9"/>
      <c r="DE81" s="9"/>
      <c r="DF81" s="9"/>
      <c r="DG81" s="9"/>
      <c r="DH81" s="9"/>
      <c r="DI81" s="9"/>
      <c r="DJ81" s="9"/>
      <c r="DK81" s="9"/>
      <c r="DL81" s="9"/>
      <c r="DM81" s="8"/>
      <c r="DN81" s="8"/>
      <c r="DO81" s="8"/>
      <c r="DP81" s="8"/>
      <c r="DQ81" s="8"/>
      <c r="DR81" s="8"/>
      <c r="DS81" s="8"/>
      <c r="DT81" s="8"/>
      <c r="DU81" s="8"/>
      <c r="DV81" s="8"/>
      <c r="DW81" s="8"/>
      <c r="DX81" s="8"/>
      <c r="DY81" s="8"/>
      <c r="DZ81" s="8"/>
      <c r="EA81" s="8"/>
      <c r="EB81" s="8"/>
      <c r="EC81" s="8"/>
      <c r="ED81" s="8"/>
      <c r="EE81" s="8"/>
      <c r="EF81" s="8"/>
      <c r="EG81" s="8"/>
      <c r="EH81" s="8"/>
      <c r="EI81" s="8"/>
      <c r="EJ81" s="8"/>
      <c r="EK81" s="8"/>
      <c r="EL81" s="8"/>
      <c r="EM81" s="8"/>
      <c r="EN81" s="8"/>
      <c r="EO81" s="15"/>
      <c r="EP81" s="15"/>
      <c r="EQ81" s="14"/>
      <c r="ER81" s="14"/>
      <c r="ES81" s="14"/>
      <c r="ET81" s="14"/>
      <c r="EU81" s="14"/>
      <c r="EV81" s="14"/>
      <c r="EW81" s="14"/>
      <c r="EX81" s="14"/>
      <c r="EY81" s="14"/>
      <c r="EZ81" s="14"/>
      <c r="FA81" s="14"/>
      <c r="FB81" s="14"/>
      <c r="FC81" s="14"/>
      <c r="FD81" s="14"/>
      <c r="FE81" s="14"/>
      <c r="FF81" s="14"/>
      <c r="FG81" s="14"/>
      <c r="FH81" s="14"/>
      <c r="FI81" s="14"/>
      <c r="FJ81" s="14"/>
      <c r="FK81" s="14"/>
      <c r="FL81" s="14"/>
    </row>
    <row r="82" spans="1:168" ht="18" x14ac:dyDescent="0.3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5"/>
      <c r="T82" s="4"/>
      <c r="U82" s="4"/>
      <c r="V82" s="4"/>
      <c r="W82" s="4"/>
      <c r="X82" s="4"/>
      <c r="Y82" s="13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  <c r="CD82" s="9"/>
      <c r="CE82" s="9"/>
      <c r="CF82" s="9"/>
      <c r="CG82" s="9"/>
      <c r="CH82" s="9"/>
      <c r="CI82" s="9"/>
      <c r="CJ82" s="9"/>
      <c r="CK82" s="9"/>
      <c r="CL82" s="9"/>
      <c r="CM82" s="9"/>
      <c r="CN82" s="9"/>
      <c r="CO82" s="9"/>
      <c r="CP82" s="9"/>
      <c r="CQ82" s="9"/>
      <c r="CR82" s="9"/>
      <c r="CS82" s="9"/>
      <c r="CT82" s="9"/>
      <c r="CU82" s="9"/>
      <c r="CV82" s="9"/>
      <c r="CW82" s="9"/>
      <c r="CX82" s="9"/>
      <c r="CY82" s="9"/>
      <c r="CZ82" s="9"/>
      <c r="DA82" s="9"/>
      <c r="DB82" s="9"/>
      <c r="DC82" s="9"/>
      <c r="DD82" s="9"/>
      <c r="DE82" s="9"/>
      <c r="DF82" s="9"/>
      <c r="DG82" s="9"/>
      <c r="DH82" s="9"/>
      <c r="DI82" s="9"/>
      <c r="DJ82" s="9"/>
      <c r="DK82" s="9"/>
      <c r="DL82" s="9"/>
      <c r="DM82" s="8"/>
      <c r="DN82" s="8"/>
      <c r="DO82" s="8"/>
      <c r="DP82" s="8"/>
      <c r="DQ82" s="8"/>
      <c r="DR82" s="8"/>
      <c r="DS82" s="8"/>
      <c r="DT82" s="8"/>
      <c r="DU82" s="8"/>
      <c r="DV82" s="8"/>
      <c r="DW82" s="8"/>
      <c r="DX82" s="8"/>
      <c r="DY82" s="8"/>
      <c r="DZ82" s="8"/>
      <c r="EA82" s="8"/>
      <c r="EB82" s="8"/>
      <c r="EC82" s="8"/>
      <c r="ED82" s="8"/>
      <c r="EE82" s="8"/>
      <c r="EF82" s="8"/>
      <c r="EG82" s="8"/>
      <c r="EH82" s="8"/>
      <c r="EI82" s="8"/>
      <c r="EJ82" s="8"/>
      <c r="EK82" s="8"/>
      <c r="EL82" s="8"/>
      <c r="EM82" s="8"/>
      <c r="EN82" s="8"/>
      <c r="EO82" s="8"/>
      <c r="EP82" s="8"/>
    </row>
    <row r="83" spans="1:168" ht="21" x14ac:dyDescent="0.3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5"/>
      <c r="T83" s="4"/>
      <c r="U83" s="4"/>
      <c r="V83" s="4"/>
      <c r="W83" s="4"/>
      <c r="X83" s="4"/>
      <c r="Y83" s="12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9"/>
      <c r="CC83" s="9"/>
      <c r="CD83" s="9"/>
      <c r="CE83" s="9"/>
      <c r="CF83" s="9"/>
      <c r="CG83" s="9"/>
      <c r="CH83" s="9"/>
      <c r="CI83" s="9"/>
      <c r="CJ83" s="9"/>
      <c r="CK83" s="9"/>
      <c r="CL83" s="9"/>
      <c r="CM83" s="9"/>
      <c r="CN83" s="9"/>
      <c r="CO83" s="9"/>
      <c r="CP83" s="9"/>
      <c r="CQ83" s="9"/>
      <c r="CR83" s="9"/>
      <c r="CS83" s="9"/>
      <c r="CT83" s="9"/>
      <c r="CU83" s="9"/>
      <c r="CV83" s="9"/>
      <c r="CW83" s="9"/>
      <c r="CX83" s="9"/>
      <c r="CY83" s="9"/>
      <c r="CZ83" s="9"/>
      <c r="DA83" s="9"/>
      <c r="DB83" s="9"/>
      <c r="DC83" s="9"/>
      <c r="DD83" s="9"/>
      <c r="DE83" s="9"/>
      <c r="DF83" s="9"/>
      <c r="DG83" s="9"/>
      <c r="DH83" s="9"/>
      <c r="DI83" s="9"/>
      <c r="DJ83" s="9"/>
      <c r="DK83" s="9"/>
      <c r="DL83" s="9"/>
      <c r="DM83" s="8"/>
      <c r="DN83" s="8"/>
      <c r="DO83" s="8"/>
      <c r="DP83" s="8"/>
      <c r="DQ83" s="8"/>
      <c r="DR83" s="8"/>
      <c r="DS83" s="8"/>
      <c r="DT83" s="8"/>
      <c r="DU83" s="8"/>
      <c r="DV83" s="8"/>
      <c r="DW83" s="8"/>
      <c r="DX83" s="8"/>
      <c r="DY83" s="8"/>
      <c r="DZ83" s="8"/>
      <c r="EA83" s="8"/>
      <c r="EB83" s="8"/>
      <c r="EC83" s="8"/>
      <c r="ED83" s="8"/>
      <c r="EE83" s="8"/>
      <c r="EF83" s="8"/>
      <c r="EG83" s="8"/>
      <c r="EH83" s="8"/>
      <c r="EI83" s="8"/>
      <c r="EJ83" s="8"/>
      <c r="EK83" s="8"/>
      <c r="EL83" s="8"/>
      <c r="EM83" s="8"/>
      <c r="EN83" s="8"/>
      <c r="EO83" s="8"/>
      <c r="EP83" s="8"/>
    </row>
    <row r="84" spans="1:168" ht="18" x14ac:dyDescent="0.3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5"/>
      <c r="T84" s="4"/>
      <c r="U84" s="4"/>
      <c r="V84" s="4"/>
      <c r="W84" s="4"/>
      <c r="X84" s="4"/>
      <c r="Y84" s="11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  <c r="CD84" s="9"/>
      <c r="CE84" s="9"/>
      <c r="CF84" s="9"/>
      <c r="CG84" s="9"/>
      <c r="CH84" s="9"/>
      <c r="CI84" s="9"/>
      <c r="CJ84" s="9"/>
      <c r="CK84" s="9"/>
      <c r="CL84" s="9"/>
      <c r="CM84" s="9"/>
      <c r="CN84" s="9"/>
      <c r="CO84" s="9"/>
      <c r="CP84" s="9"/>
      <c r="CQ84" s="9"/>
      <c r="CR84" s="9"/>
      <c r="CS84" s="9"/>
      <c r="CT84" s="9"/>
      <c r="CU84" s="9"/>
      <c r="CV84" s="9"/>
      <c r="CW84" s="9"/>
      <c r="CX84" s="9"/>
      <c r="CY84" s="9"/>
      <c r="CZ84" s="9"/>
      <c r="DA84" s="9"/>
      <c r="DB84" s="9"/>
      <c r="DC84" s="9"/>
      <c r="DD84" s="9"/>
      <c r="DE84" s="9"/>
      <c r="DF84" s="9"/>
      <c r="DG84" s="9"/>
      <c r="DH84" s="9"/>
      <c r="DI84" s="9"/>
      <c r="DJ84" s="9"/>
      <c r="DK84" s="9"/>
      <c r="DL84" s="9"/>
      <c r="DM84" s="8"/>
      <c r="DN84" s="8"/>
      <c r="DO84" s="8"/>
      <c r="DP84" s="8"/>
      <c r="DQ84" s="8"/>
      <c r="DR84" s="8"/>
      <c r="DS84" s="8"/>
      <c r="DT84" s="8"/>
      <c r="DU84" s="8"/>
      <c r="DV84" s="8"/>
      <c r="DW84" s="8"/>
      <c r="DX84" s="8"/>
      <c r="DY84" s="8"/>
      <c r="DZ84" s="8"/>
      <c r="EA84" s="8"/>
      <c r="EB84" s="8"/>
      <c r="EC84" s="8"/>
      <c r="ED84" s="8"/>
      <c r="EE84" s="8"/>
      <c r="EF84" s="8"/>
      <c r="EG84" s="8"/>
      <c r="EH84" s="8"/>
      <c r="EI84" s="8"/>
      <c r="EJ84" s="8"/>
      <c r="EK84" s="8"/>
      <c r="EL84" s="8"/>
      <c r="EM84" s="8"/>
      <c r="EN84" s="8"/>
      <c r="EO84" s="10"/>
      <c r="EP84" s="10"/>
      <c r="EQ84" s="10"/>
      <c r="ER84" s="10"/>
      <c r="ES84" s="10"/>
      <c r="ET84" s="10"/>
      <c r="EU84" s="10"/>
      <c r="EV84" s="10"/>
      <c r="EW84" s="10"/>
      <c r="EX84" s="10"/>
      <c r="EY84" s="10"/>
      <c r="EZ84" s="10"/>
      <c r="FA84" s="10"/>
      <c r="FB84" s="10"/>
      <c r="FC84" s="10"/>
      <c r="FD84" s="10"/>
      <c r="FE84" s="10"/>
      <c r="FF84" s="10"/>
      <c r="FG84" s="10"/>
      <c r="FH84" s="10"/>
      <c r="FI84" s="10"/>
      <c r="FJ84" s="10"/>
      <c r="FK84" s="10"/>
      <c r="FL84" s="10"/>
    </row>
    <row r="85" spans="1:168" ht="18" x14ac:dyDescent="0.3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5"/>
      <c r="T85" s="4"/>
      <c r="U85" s="4"/>
      <c r="V85" s="4"/>
      <c r="W85" s="4"/>
      <c r="X85" s="4"/>
      <c r="Y85" s="11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  <c r="BX85" s="9"/>
      <c r="BY85" s="9"/>
      <c r="BZ85" s="9"/>
      <c r="CA85" s="9"/>
      <c r="CB85" s="9"/>
      <c r="CC85" s="9"/>
      <c r="CD85" s="9"/>
      <c r="CE85" s="9"/>
      <c r="CF85" s="9"/>
      <c r="CG85" s="9"/>
      <c r="CH85" s="9"/>
      <c r="CI85" s="9"/>
      <c r="CJ85" s="9"/>
      <c r="CK85" s="9"/>
      <c r="CL85" s="9"/>
      <c r="CM85" s="9"/>
      <c r="CN85" s="9"/>
      <c r="CO85" s="9"/>
      <c r="CP85" s="9"/>
      <c r="CQ85" s="9"/>
      <c r="CR85" s="9"/>
      <c r="CS85" s="9"/>
      <c r="CT85" s="9"/>
      <c r="CU85" s="9"/>
      <c r="CV85" s="9"/>
      <c r="CW85" s="9"/>
      <c r="CX85" s="9"/>
      <c r="CY85" s="9"/>
      <c r="CZ85" s="9"/>
      <c r="DA85" s="9"/>
      <c r="DB85" s="9"/>
      <c r="DC85" s="9"/>
      <c r="DD85" s="9"/>
      <c r="DE85" s="9"/>
      <c r="DF85" s="9"/>
      <c r="DG85" s="9"/>
      <c r="DH85" s="9"/>
      <c r="DI85" s="9"/>
      <c r="DJ85" s="9"/>
      <c r="DK85" s="9"/>
      <c r="DL85" s="9"/>
      <c r="DM85" s="8"/>
      <c r="DN85" s="8"/>
      <c r="DO85" s="8"/>
      <c r="DP85" s="8"/>
      <c r="DQ85" s="8"/>
      <c r="DR85" s="8"/>
      <c r="DS85" s="8"/>
      <c r="DT85" s="8"/>
      <c r="DU85" s="8"/>
      <c r="DV85" s="8"/>
      <c r="DW85" s="8"/>
      <c r="DX85" s="8"/>
      <c r="DY85" s="8"/>
      <c r="DZ85" s="8"/>
      <c r="EA85" s="8"/>
      <c r="EB85" s="8"/>
      <c r="EC85" s="8"/>
      <c r="ED85" s="8"/>
      <c r="EE85" s="8"/>
      <c r="EF85" s="8"/>
      <c r="EG85" s="8"/>
      <c r="EH85" s="8"/>
      <c r="EI85" s="8"/>
      <c r="EJ85" s="8"/>
      <c r="EK85" s="8"/>
      <c r="EL85" s="8"/>
      <c r="EM85" s="8"/>
      <c r="EN85" s="8"/>
      <c r="EO85" s="7"/>
      <c r="EP85" s="7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</row>
    <row r="86" spans="1:168" ht="18" x14ac:dyDescent="0.3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5"/>
      <c r="T86" s="4"/>
      <c r="U86" s="4"/>
      <c r="V86" s="4"/>
      <c r="W86" s="4"/>
      <c r="X86" s="4"/>
      <c r="Y86" s="11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A86" s="9"/>
      <c r="CB86" s="9"/>
      <c r="CC86" s="9"/>
      <c r="CD86" s="9"/>
      <c r="CE86" s="9"/>
      <c r="CF86" s="9"/>
      <c r="CG86" s="9"/>
      <c r="CH86" s="9"/>
      <c r="CI86" s="9"/>
      <c r="CJ86" s="9"/>
      <c r="CK86" s="9"/>
      <c r="CL86" s="9"/>
      <c r="CM86" s="9"/>
      <c r="CN86" s="9"/>
      <c r="CO86" s="9"/>
      <c r="CP86" s="9"/>
      <c r="CQ86" s="9"/>
      <c r="CR86" s="9"/>
      <c r="CS86" s="9"/>
      <c r="CT86" s="9"/>
      <c r="CU86" s="9"/>
      <c r="CV86" s="9"/>
      <c r="CW86" s="9"/>
      <c r="CX86" s="9"/>
      <c r="CY86" s="9"/>
      <c r="CZ86" s="9"/>
      <c r="DA86" s="9"/>
      <c r="DB86" s="9"/>
      <c r="DC86" s="9"/>
      <c r="DD86" s="9"/>
      <c r="DE86" s="9"/>
      <c r="DF86" s="9"/>
      <c r="DG86" s="9"/>
      <c r="DH86" s="9"/>
      <c r="DI86" s="9"/>
      <c r="DJ86" s="9"/>
      <c r="DK86" s="9"/>
      <c r="DL86" s="9"/>
      <c r="DM86" s="8"/>
      <c r="DN86" s="8"/>
      <c r="DO86" s="8"/>
      <c r="DP86" s="8"/>
      <c r="DQ86" s="8"/>
      <c r="DR86" s="8"/>
      <c r="DS86" s="8"/>
      <c r="DT86" s="8"/>
      <c r="DU86" s="8"/>
      <c r="DV86" s="8"/>
      <c r="DW86" s="8"/>
      <c r="DX86" s="8"/>
      <c r="DY86" s="8"/>
      <c r="DZ86" s="8"/>
      <c r="EA86" s="8"/>
      <c r="EB86" s="8"/>
      <c r="EC86" s="8"/>
      <c r="ED86" s="8"/>
      <c r="EE86" s="8"/>
      <c r="EF86" s="8"/>
      <c r="EG86" s="8"/>
      <c r="EH86" s="8"/>
      <c r="EI86" s="8"/>
      <c r="EJ86" s="8"/>
      <c r="EK86" s="8"/>
      <c r="EL86" s="8"/>
      <c r="EM86" s="8"/>
      <c r="EN86" s="8"/>
      <c r="EO86" s="7"/>
      <c r="EP86" s="7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</row>
    <row r="87" spans="1:168" ht="18" x14ac:dyDescent="0.3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5"/>
      <c r="T87" s="4"/>
      <c r="U87" s="4"/>
      <c r="V87" s="4"/>
      <c r="W87" s="4"/>
      <c r="X87" s="4"/>
      <c r="Y87" s="11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  <c r="CD87" s="9"/>
      <c r="CE87" s="9"/>
      <c r="CF87" s="9"/>
      <c r="CG87" s="9"/>
      <c r="CH87" s="9"/>
      <c r="CI87" s="9"/>
      <c r="CJ87" s="9"/>
      <c r="CK87" s="9"/>
      <c r="CL87" s="9"/>
      <c r="CM87" s="9"/>
      <c r="CN87" s="9"/>
      <c r="CO87" s="9"/>
      <c r="CP87" s="9"/>
      <c r="CQ87" s="9"/>
      <c r="CR87" s="9"/>
      <c r="CS87" s="9"/>
      <c r="CT87" s="9"/>
      <c r="CU87" s="9"/>
      <c r="CV87" s="9"/>
      <c r="CW87" s="9"/>
      <c r="CX87" s="9"/>
      <c r="CY87" s="9"/>
      <c r="CZ87" s="9"/>
      <c r="DA87" s="9"/>
      <c r="DB87" s="9"/>
      <c r="DC87" s="9"/>
      <c r="DD87" s="9"/>
      <c r="DE87" s="9"/>
      <c r="DF87" s="9"/>
      <c r="DG87" s="9"/>
      <c r="DH87" s="9"/>
      <c r="DI87" s="9"/>
      <c r="DJ87" s="9"/>
      <c r="DK87" s="9"/>
      <c r="DL87" s="9"/>
      <c r="DM87" s="8"/>
      <c r="DN87" s="8"/>
      <c r="DO87" s="8"/>
      <c r="DP87" s="8"/>
      <c r="DQ87" s="8"/>
      <c r="DR87" s="8"/>
      <c r="DS87" s="8"/>
      <c r="DT87" s="8"/>
      <c r="DU87" s="8"/>
      <c r="DV87" s="8"/>
      <c r="DW87" s="8"/>
      <c r="DX87" s="8"/>
      <c r="DY87" s="8"/>
      <c r="DZ87" s="8"/>
      <c r="EA87" s="8"/>
      <c r="EB87" s="8"/>
      <c r="EC87" s="8"/>
      <c r="ED87" s="8"/>
      <c r="EE87" s="8"/>
      <c r="EF87" s="8"/>
      <c r="EG87" s="8"/>
      <c r="EH87" s="8"/>
      <c r="EI87" s="8"/>
      <c r="EJ87" s="8"/>
      <c r="EK87" s="8"/>
      <c r="EL87" s="8"/>
      <c r="EM87" s="8"/>
      <c r="EN87" s="8"/>
      <c r="EO87" s="7"/>
      <c r="EP87" s="7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</row>
    <row r="88" spans="1:168" ht="18" x14ac:dyDescent="0.3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5"/>
      <c r="T88" s="4"/>
      <c r="U88" s="4"/>
      <c r="V88" s="4"/>
      <c r="W88" s="4"/>
      <c r="X88" s="4"/>
      <c r="Y88" s="11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  <c r="CD88" s="9"/>
      <c r="CE88" s="9"/>
      <c r="CF88" s="9"/>
      <c r="CG88" s="9"/>
      <c r="CH88" s="9"/>
      <c r="CI88" s="9"/>
      <c r="CJ88" s="9"/>
      <c r="CK88" s="9"/>
      <c r="CL88" s="9"/>
      <c r="CM88" s="9"/>
      <c r="CN88" s="9"/>
      <c r="CO88" s="9"/>
      <c r="CP88" s="9"/>
      <c r="CQ88" s="9"/>
      <c r="CR88" s="9"/>
      <c r="CS88" s="9"/>
      <c r="CT88" s="9"/>
      <c r="CU88" s="9"/>
      <c r="CV88" s="9"/>
      <c r="CW88" s="9"/>
      <c r="CX88" s="9"/>
      <c r="CY88" s="9"/>
      <c r="CZ88" s="9"/>
      <c r="DA88" s="9"/>
      <c r="DB88" s="9"/>
      <c r="DC88" s="9"/>
      <c r="DD88" s="9"/>
      <c r="DE88" s="9"/>
      <c r="DF88" s="9"/>
      <c r="DG88" s="9"/>
      <c r="DH88" s="9"/>
      <c r="DI88" s="9"/>
      <c r="DJ88" s="9"/>
      <c r="DK88" s="9"/>
      <c r="DL88" s="9"/>
      <c r="DM88" s="8"/>
      <c r="DN88" s="8"/>
      <c r="DO88" s="8"/>
      <c r="DP88" s="8"/>
      <c r="DQ88" s="8"/>
      <c r="DR88" s="8"/>
      <c r="DS88" s="8"/>
      <c r="DT88" s="8"/>
      <c r="DU88" s="8"/>
      <c r="DV88" s="8"/>
      <c r="DW88" s="8"/>
      <c r="DX88" s="8"/>
      <c r="DY88" s="8"/>
      <c r="DZ88" s="8"/>
      <c r="EA88" s="8"/>
      <c r="EB88" s="8"/>
      <c r="EC88" s="8"/>
      <c r="ED88" s="8"/>
      <c r="EE88" s="8"/>
      <c r="EF88" s="8"/>
      <c r="EG88" s="8"/>
      <c r="EH88" s="8"/>
      <c r="EI88" s="8"/>
      <c r="EJ88" s="8"/>
      <c r="EK88" s="8"/>
      <c r="EL88" s="8"/>
      <c r="EM88" s="8"/>
      <c r="EN88" s="8"/>
      <c r="EO88" s="7"/>
      <c r="EP88" s="7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</row>
    <row r="89" spans="1:168" ht="18" x14ac:dyDescent="0.3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5"/>
      <c r="T89" s="4"/>
      <c r="U89" s="4"/>
      <c r="V89" s="4"/>
      <c r="W89" s="4"/>
      <c r="X89" s="4"/>
      <c r="Y89" s="124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9"/>
      <c r="CD89" s="9"/>
      <c r="CE89" s="9"/>
      <c r="CF89" s="9"/>
      <c r="CG89" s="9"/>
      <c r="CH89" s="9"/>
      <c r="CI89" s="9"/>
      <c r="CJ89" s="9"/>
      <c r="CK89" s="9"/>
      <c r="CL89" s="9"/>
      <c r="CM89" s="9"/>
      <c r="CN89" s="9"/>
      <c r="CO89" s="9"/>
      <c r="CP89" s="9"/>
      <c r="CQ89" s="9"/>
      <c r="CR89" s="9"/>
      <c r="CS89" s="9"/>
      <c r="CT89" s="9"/>
      <c r="CU89" s="9"/>
      <c r="CV89" s="9"/>
      <c r="CW89" s="9"/>
      <c r="CX89" s="9"/>
      <c r="CY89" s="9"/>
      <c r="CZ89" s="9"/>
      <c r="DA89" s="9"/>
      <c r="DB89" s="9"/>
      <c r="DC89" s="9"/>
      <c r="DD89" s="9"/>
      <c r="DE89" s="9"/>
      <c r="DF89" s="9"/>
      <c r="DG89" s="9"/>
      <c r="DH89" s="9"/>
      <c r="DI89" s="9"/>
      <c r="DJ89" s="9"/>
      <c r="DK89" s="9"/>
      <c r="DL89" s="9"/>
      <c r="DM89" s="8"/>
      <c r="DN89" s="8"/>
      <c r="DO89" s="8"/>
      <c r="DP89" s="8"/>
      <c r="DQ89" s="8"/>
      <c r="DR89" s="8"/>
      <c r="DS89" s="8"/>
      <c r="DT89" s="8"/>
      <c r="DU89" s="8"/>
      <c r="DV89" s="8"/>
      <c r="DW89" s="8"/>
      <c r="DX89" s="8"/>
      <c r="DY89" s="8"/>
      <c r="DZ89" s="8"/>
      <c r="EA89" s="8"/>
      <c r="EB89" s="8"/>
      <c r="EC89" s="8"/>
      <c r="ED89" s="8"/>
      <c r="EE89" s="8"/>
      <c r="EF89" s="8"/>
      <c r="EG89" s="8"/>
      <c r="EH89" s="8"/>
      <c r="EI89" s="8"/>
      <c r="EJ89" s="8"/>
      <c r="EK89" s="8"/>
      <c r="EL89" s="8"/>
      <c r="EM89" s="8"/>
      <c r="EN89" s="8"/>
      <c r="EO89" s="7"/>
      <c r="EP89" s="7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</row>
    <row r="90" spans="1:168" ht="18" x14ac:dyDescent="0.3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5"/>
      <c r="T90" s="4"/>
      <c r="U90" s="4"/>
      <c r="V90" s="4"/>
      <c r="W90" s="4"/>
      <c r="X90" s="4"/>
      <c r="Y90" s="124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9"/>
      <c r="CC90" s="9"/>
      <c r="CD90" s="9"/>
      <c r="CE90" s="9"/>
      <c r="CF90" s="9"/>
      <c r="CG90" s="9"/>
      <c r="CH90" s="9"/>
      <c r="CI90" s="9"/>
      <c r="CJ90" s="9"/>
      <c r="CK90" s="9"/>
      <c r="CL90" s="9"/>
      <c r="CM90" s="9"/>
      <c r="CN90" s="9"/>
      <c r="CO90" s="9"/>
      <c r="CP90" s="9"/>
      <c r="CQ90" s="9"/>
      <c r="CR90" s="9"/>
      <c r="CS90" s="9"/>
      <c r="CT90" s="9"/>
      <c r="CU90" s="9"/>
      <c r="CV90" s="9"/>
      <c r="CW90" s="9"/>
      <c r="CX90" s="9"/>
      <c r="CY90" s="9"/>
      <c r="CZ90" s="9"/>
      <c r="DA90" s="9"/>
      <c r="DB90" s="9"/>
      <c r="DC90" s="9"/>
      <c r="DD90" s="9"/>
      <c r="DE90" s="9"/>
      <c r="DF90" s="9"/>
      <c r="DG90" s="9"/>
      <c r="DH90" s="9"/>
      <c r="DI90" s="9"/>
      <c r="DJ90" s="9"/>
      <c r="DK90" s="9"/>
      <c r="DL90" s="9"/>
      <c r="DM90" s="8"/>
      <c r="DN90" s="8"/>
      <c r="DO90" s="8"/>
      <c r="DP90" s="8"/>
      <c r="DQ90" s="8"/>
      <c r="DR90" s="8"/>
      <c r="DS90" s="8"/>
      <c r="DT90" s="8"/>
      <c r="DU90" s="8"/>
      <c r="DV90" s="8"/>
      <c r="DW90" s="8"/>
      <c r="DX90" s="8"/>
      <c r="DY90" s="8"/>
      <c r="DZ90" s="8"/>
      <c r="EA90" s="8"/>
      <c r="EB90" s="8"/>
      <c r="EC90" s="8"/>
      <c r="ED90" s="8"/>
      <c r="EE90" s="8"/>
      <c r="EF90" s="8"/>
      <c r="EG90" s="8"/>
      <c r="EH90" s="8"/>
      <c r="EI90" s="8"/>
      <c r="EJ90" s="8"/>
      <c r="EK90" s="8"/>
      <c r="EL90" s="8"/>
      <c r="EM90" s="8"/>
      <c r="EN90" s="8"/>
      <c r="EO90" s="7"/>
      <c r="EP90" s="7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</row>
    <row r="91" spans="1:168" ht="18" x14ac:dyDescent="0.3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5"/>
      <c r="T91" s="4"/>
      <c r="U91" s="4"/>
      <c r="V91" s="4"/>
      <c r="W91" s="4"/>
      <c r="X91" s="4"/>
      <c r="Y91" s="124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9"/>
      <c r="CD91" s="9"/>
      <c r="CE91" s="9"/>
      <c r="CF91" s="9"/>
      <c r="CG91" s="9"/>
      <c r="CH91" s="9"/>
      <c r="CI91" s="9"/>
      <c r="CJ91" s="9"/>
      <c r="CK91" s="9"/>
      <c r="CL91" s="9"/>
      <c r="CM91" s="9"/>
      <c r="CN91" s="9"/>
      <c r="CO91" s="9"/>
      <c r="CP91" s="9"/>
      <c r="CQ91" s="9"/>
      <c r="CR91" s="9"/>
      <c r="CS91" s="9"/>
      <c r="CT91" s="9"/>
      <c r="CU91" s="9"/>
      <c r="CV91" s="9"/>
      <c r="CW91" s="9"/>
      <c r="CX91" s="9"/>
      <c r="CY91" s="9"/>
      <c r="CZ91" s="9"/>
      <c r="DA91" s="9"/>
      <c r="DB91" s="9"/>
      <c r="DC91" s="9"/>
      <c r="DD91" s="9"/>
      <c r="DE91" s="9"/>
      <c r="DF91" s="9"/>
      <c r="DG91" s="9"/>
      <c r="DH91" s="9"/>
      <c r="DI91" s="9"/>
      <c r="DJ91" s="9"/>
      <c r="DK91" s="9"/>
      <c r="DL91" s="9"/>
      <c r="DM91" s="8"/>
      <c r="DN91" s="8"/>
      <c r="DO91" s="8"/>
      <c r="DP91" s="8"/>
      <c r="DQ91" s="8"/>
      <c r="DR91" s="8"/>
      <c r="DS91" s="8"/>
      <c r="DT91" s="8"/>
      <c r="DU91" s="8"/>
      <c r="DV91" s="8"/>
      <c r="DW91" s="8"/>
      <c r="DX91" s="8"/>
      <c r="DY91" s="8"/>
      <c r="DZ91" s="8"/>
      <c r="EA91" s="8"/>
      <c r="EB91" s="8"/>
      <c r="EC91" s="8"/>
      <c r="ED91" s="8"/>
      <c r="EE91" s="8"/>
      <c r="EF91" s="8"/>
      <c r="EG91" s="8"/>
      <c r="EH91" s="8"/>
      <c r="EI91" s="8"/>
      <c r="EJ91" s="8"/>
      <c r="EK91" s="8"/>
      <c r="EL91" s="8"/>
      <c r="EM91" s="8"/>
      <c r="EN91" s="8"/>
      <c r="EO91" s="7"/>
      <c r="EP91" s="7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</row>
    <row r="92" spans="1:168" ht="18" x14ac:dyDescent="0.3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5"/>
      <c r="T92" s="4"/>
      <c r="U92" s="4"/>
      <c r="V92" s="4"/>
      <c r="W92" s="4"/>
      <c r="X92" s="4"/>
      <c r="Y92" s="124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  <c r="CD92" s="9"/>
      <c r="CE92" s="9"/>
      <c r="CF92" s="9"/>
      <c r="CG92" s="9"/>
      <c r="CH92" s="9"/>
      <c r="CI92" s="9"/>
      <c r="CJ92" s="9"/>
      <c r="CK92" s="9"/>
      <c r="CL92" s="9"/>
      <c r="CM92" s="9"/>
      <c r="CN92" s="9"/>
      <c r="CO92" s="9"/>
      <c r="CP92" s="9"/>
      <c r="CQ92" s="9"/>
      <c r="CR92" s="9"/>
      <c r="CS92" s="9"/>
      <c r="CT92" s="9"/>
      <c r="CU92" s="9"/>
      <c r="CV92" s="9"/>
      <c r="CW92" s="9"/>
      <c r="CX92" s="9"/>
      <c r="CY92" s="9"/>
      <c r="CZ92" s="9"/>
      <c r="DA92" s="9"/>
      <c r="DB92" s="9"/>
      <c r="DC92" s="9"/>
      <c r="DD92" s="9"/>
      <c r="DE92" s="9"/>
      <c r="DF92" s="9"/>
      <c r="DG92" s="9"/>
      <c r="DH92" s="9"/>
      <c r="DI92" s="9"/>
      <c r="DJ92" s="9"/>
      <c r="DK92" s="9"/>
      <c r="DL92" s="9"/>
      <c r="DM92" s="8"/>
      <c r="DN92" s="8"/>
      <c r="DO92" s="8"/>
      <c r="DP92" s="8"/>
      <c r="DQ92" s="8"/>
      <c r="DR92" s="8"/>
      <c r="DS92" s="8"/>
      <c r="DT92" s="8"/>
      <c r="DU92" s="8"/>
      <c r="DV92" s="8"/>
      <c r="DW92" s="8"/>
      <c r="DX92" s="8"/>
      <c r="DY92" s="8"/>
      <c r="DZ92" s="8"/>
      <c r="EA92" s="8"/>
      <c r="EB92" s="8"/>
      <c r="EC92" s="8"/>
      <c r="ED92" s="8"/>
      <c r="EE92" s="8"/>
      <c r="EF92" s="8"/>
      <c r="EG92" s="8"/>
      <c r="EH92" s="8"/>
      <c r="EI92" s="8"/>
      <c r="EJ92" s="8"/>
      <c r="EK92" s="8"/>
      <c r="EL92" s="8"/>
      <c r="EM92" s="8"/>
      <c r="EN92" s="8"/>
      <c r="EO92" s="7"/>
      <c r="EP92" s="7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</row>
    <row r="93" spans="1:168" ht="18" x14ac:dyDescent="0.3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5"/>
      <c r="T93" s="4"/>
      <c r="U93" s="4"/>
      <c r="V93" s="4"/>
      <c r="W93" s="4"/>
      <c r="X93" s="4"/>
      <c r="Y93" s="124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  <c r="CD93" s="9"/>
      <c r="CE93" s="9"/>
      <c r="CF93" s="9"/>
      <c r="CG93" s="9"/>
      <c r="CH93" s="9"/>
      <c r="CI93" s="9"/>
      <c r="CJ93" s="9"/>
      <c r="CK93" s="9"/>
      <c r="CL93" s="9"/>
      <c r="CM93" s="9"/>
      <c r="CN93" s="9"/>
      <c r="CO93" s="9"/>
      <c r="CP93" s="9"/>
      <c r="CQ93" s="9"/>
      <c r="CR93" s="9"/>
      <c r="CS93" s="9"/>
      <c r="CT93" s="9"/>
      <c r="CU93" s="9"/>
      <c r="CV93" s="9"/>
      <c r="CW93" s="9"/>
      <c r="CX93" s="9"/>
      <c r="CY93" s="9"/>
      <c r="CZ93" s="9"/>
      <c r="DA93" s="9"/>
      <c r="DB93" s="9"/>
      <c r="DC93" s="9"/>
      <c r="DD93" s="9"/>
      <c r="DE93" s="9"/>
      <c r="DF93" s="9"/>
      <c r="DG93" s="9"/>
      <c r="DH93" s="9"/>
      <c r="DI93" s="9"/>
      <c r="DJ93" s="9"/>
      <c r="DK93" s="9"/>
      <c r="DL93" s="9"/>
      <c r="DM93" s="8"/>
      <c r="DN93" s="8"/>
      <c r="DO93" s="8"/>
      <c r="DP93" s="8"/>
      <c r="DQ93" s="8"/>
      <c r="DR93" s="8"/>
      <c r="DS93" s="8"/>
      <c r="DT93" s="8"/>
      <c r="DU93" s="8"/>
      <c r="DV93" s="8"/>
      <c r="DW93" s="8"/>
      <c r="DX93" s="8"/>
      <c r="DY93" s="8"/>
      <c r="DZ93" s="8"/>
      <c r="EA93" s="8"/>
      <c r="EB93" s="8"/>
      <c r="EC93" s="8"/>
      <c r="ED93" s="8"/>
      <c r="EE93" s="8"/>
      <c r="EF93" s="8"/>
      <c r="EG93" s="8"/>
      <c r="EH93" s="8"/>
      <c r="EI93" s="8"/>
      <c r="EJ93" s="8"/>
      <c r="EK93" s="8"/>
      <c r="EL93" s="8"/>
      <c r="EM93" s="8"/>
      <c r="EN93" s="8"/>
      <c r="EO93" s="7"/>
      <c r="EP93" s="7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</row>
    <row r="94" spans="1:168" ht="18" x14ac:dyDescent="0.3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5"/>
      <c r="T94" s="4"/>
      <c r="U94" s="4"/>
      <c r="V94" s="4"/>
      <c r="W94" s="4"/>
      <c r="X94" s="4"/>
      <c r="Y94" s="124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  <c r="CD94" s="9"/>
      <c r="CE94" s="9"/>
      <c r="CF94" s="9"/>
      <c r="CG94" s="9"/>
      <c r="CH94" s="9"/>
      <c r="CI94" s="9"/>
      <c r="CJ94" s="9"/>
      <c r="CK94" s="9"/>
      <c r="CL94" s="9"/>
      <c r="CM94" s="9"/>
      <c r="CN94" s="9"/>
      <c r="CO94" s="9"/>
      <c r="CP94" s="9"/>
      <c r="CQ94" s="9"/>
      <c r="CR94" s="9"/>
      <c r="CS94" s="9"/>
      <c r="CT94" s="9"/>
      <c r="CU94" s="9"/>
      <c r="CV94" s="9"/>
      <c r="CW94" s="9"/>
      <c r="CX94" s="9"/>
      <c r="CY94" s="9"/>
      <c r="CZ94" s="9"/>
      <c r="DA94" s="9"/>
      <c r="DB94" s="9"/>
      <c r="DC94" s="9"/>
      <c r="DD94" s="9"/>
      <c r="DE94" s="9"/>
      <c r="DF94" s="9"/>
      <c r="DG94" s="9"/>
      <c r="DH94" s="9"/>
      <c r="DI94" s="9"/>
      <c r="DJ94" s="9"/>
      <c r="DK94" s="9"/>
      <c r="DL94" s="9"/>
      <c r="DM94" s="8"/>
      <c r="DN94" s="8"/>
      <c r="DO94" s="8"/>
      <c r="DP94" s="8"/>
      <c r="DQ94" s="8"/>
      <c r="DR94" s="8"/>
      <c r="DS94" s="8"/>
      <c r="DT94" s="8"/>
      <c r="DU94" s="8"/>
      <c r="DV94" s="8"/>
      <c r="DW94" s="8"/>
      <c r="DX94" s="8"/>
      <c r="DY94" s="8"/>
      <c r="DZ94" s="8"/>
      <c r="EA94" s="8"/>
      <c r="EB94" s="8"/>
      <c r="EC94" s="8"/>
      <c r="ED94" s="8"/>
      <c r="EE94" s="8"/>
      <c r="EF94" s="8"/>
      <c r="EG94" s="8"/>
      <c r="EH94" s="8"/>
      <c r="EI94" s="8"/>
      <c r="EJ94" s="8"/>
      <c r="EK94" s="8"/>
      <c r="EL94" s="8"/>
      <c r="EM94" s="8"/>
      <c r="EN94" s="8"/>
      <c r="EO94" s="7"/>
      <c r="EP94" s="7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</row>
    <row r="95" spans="1:168" ht="18" x14ac:dyDescent="0.3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5"/>
      <c r="T95" s="4"/>
      <c r="U95" s="4"/>
      <c r="V95" s="4"/>
      <c r="W95" s="4"/>
      <c r="X95" s="4"/>
      <c r="Y95" s="124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  <c r="CY95" s="9"/>
      <c r="CZ95" s="9"/>
      <c r="DA95" s="9"/>
      <c r="DB95" s="9"/>
      <c r="DC95" s="9"/>
      <c r="DD95" s="9"/>
      <c r="DE95" s="9"/>
      <c r="DF95" s="9"/>
      <c r="DG95" s="9"/>
      <c r="DH95" s="9"/>
      <c r="DI95" s="9"/>
      <c r="DJ95" s="9"/>
      <c r="DK95" s="9"/>
      <c r="DL95" s="9"/>
      <c r="DM95" s="8"/>
      <c r="DN95" s="8"/>
      <c r="DO95" s="8"/>
      <c r="DP95" s="8"/>
      <c r="DQ95" s="8"/>
      <c r="DR95" s="8"/>
      <c r="DS95" s="8"/>
      <c r="DT95" s="8"/>
      <c r="DU95" s="8"/>
      <c r="DV95" s="8"/>
      <c r="DW95" s="8"/>
      <c r="DX95" s="8"/>
      <c r="DY95" s="8"/>
      <c r="DZ95" s="8"/>
      <c r="EA95" s="8"/>
      <c r="EB95" s="8"/>
      <c r="EC95" s="8"/>
      <c r="ED95" s="8"/>
      <c r="EE95" s="8"/>
      <c r="EF95" s="8"/>
      <c r="EG95" s="8"/>
      <c r="EH95" s="8"/>
      <c r="EI95" s="8"/>
      <c r="EJ95" s="8"/>
      <c r="EK95" s="8"/>
      <c r="EL95" s="8"/>
      <c r="EM95" s="8"/>
      <c r="EN95" s="8"/>
      <c r="EO95" s="7"/>
      <c r="EP95" s="7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</row>
    <row r="96" spans="1:168" ht="18" x14ac:dyDescent="0.3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5"/>
      <c r="T96" s="4"/>
      <c r="U96" s="4"/>
      <c r="V96" s="4"/>
      <c r="W96" s="4"/>
      <c r="X96" s="4"/>
      <c r="Y96" s="124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9"/>
      <c r="DC96" s="9"/>
      <c r="DD96" s="9"/>
      <c r="DE96" s="9"/>
      <c r="DF96" s="9"/>
      <c r="DG96" s="9"/>
      <c r="DH96" s="9"/>
      <c r="DI96" s="9"/>
      <c r="DJ96" s="9"/>
      <c r="DK96" s="9"/>
      <c r="DL96" s="9"/>
      <c r="DM96" s="8"/>
      <c r="DN96" s="8"/>
      <c r="DO96" s="8"/>
      <c r="DP96" s="8"/>
      <c r="DQ96" s="8"/>
      <c r="DR96" s="8"/>
      <c r="DS96" s="8"/>
      <c r="DT96" s="8"/>
      <c r="DU96" s="8"/>
      <c r="DV96" s="8"/>
      <c r="DW96" s="8"/>
      <c r="DX96" s="8"/>
      <c r="DY96" s="8"/>
      <c r="DZ96" s="8"/>
      <c r="EA96" s="8"/>
      <c r="EB96" s="8"/>
      <c r="EC96" s="8"/>
      <c r="ED96" s="8"/>
      <c r="EE96" s="8"/>
      <c r="EF96" s="8"/>
      <c r="EG96" s="8"/>
      <c r="EH96" s="8"/>
      <c r="EI96" s="8"/>
      <c r="EJ96" s="8"/>
      <c r="EK96" s="8"/>
      <c r="EL96" s="8"/>
      <c r="EM96" s="8"/>
      <c r="EN96" s="8"/>
      <c r="EO96" s="7"/>
      <c r="EP96" s="7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</row>
    <row r="97" spans="1:168" ht="18" x14ac:dyDescent="0.3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5"/>
      <c r="T97" s="4"/>
      <c r="U97" s="4"/>
      <c r="V97" s="4"/>
      <c r="W97" s="4"/>
      <c r="X97" s="4"/>
      <c r="Y97" s="124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9"/>
      <c r="CF97" s="9"/>
      <c r="CG97" s="9"/>
      <c r="CH97" s="9"/>
      <c r="CI97" s="9"/>
      <c r="CJ97" s="9"/>
      <c r="CK97" s="9"/>
      <c r="CL97" s="9"/>
      <c r="CM97" s="9"/>
      <c r="CN97" s="9"/>
      <c r="CO97" s="9"/>
      <c r="CP97" s="9"/>
      <c r="CQ97" s="9"/>
      <c r="CR97" s="9"/>
      <c r="CS97" s="9"/>
      <c r="CT97" s="9"/>
      <c r="CU97" s="9"/>
      <c r="CV97" s="9"/>
      <c r="CW97" s="9"/>
      <c r="CX97" s="9"/>
      <c r="CY97" s="9"/>
      <c r="CZ97" s="9"/>
      <c r="DA97" s="9"/>
      <c r="DB97" s="9"/>
      <c r="DC97" s="9"/>
      <c r="DD97" s="9"/>
      <c r="DE97" s="9"/>
      <c r="DF97" s="9"/>
      <c r="DG97" s="9"/>
      <c r="DH97" s="9"/>
      <c r="DI97" s="9"/>
      <c r="DJ97" s="9"/>
      <c r="DK97" s="9"/>
      <c r="DL97" s="9"/>
      <c r="DM97" s="8"/>
      <c r="DN97" s="8"/>
      <c r="DO97" s="8"/>
      <c r="DP97" s="8"/>
      <c r="DQ97" s="8"/>
      <c r="DR97" s="8"/>
      <c r="DS97" s="8"/>
      <c r="DT97" s="8"/>
      <c r="DU97" s="8"/>
      <c r="DV97" s="8"/>
      <c r="DW97" s="8"/>
      <c r="DX97" s="8"/>
      <c r="DY97" s="8"/>
      <c r="DZ97" s="8"/>
      <c r="EA97" s="8"/>
      <c r="EB97" s="8"/>
      <c r="EC97" s="8"/>
      <c r="ED97" s="8"/>
      <c r="EE97" s="8"/>
      <c r="EF97" s="8"/>
      <c r="EG97" s="8"/>
      <c r="EH97" s="8"/>
      <c r="EI97" s="8"/>
      <c r="EJ97" s="8"/>
      <c r="EK97" s="8"/>
      <c r="EL97" s="8"/>
      <c r="EM97" s="8"/>
      <c r="EN97" s="8"/>
      <c r="EO97" s="7"/>
      <c r="EP97" s="7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</row>
    <row r="98" spans="1:168" ht="18" x14ac:dyDescent="0.3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5"/>
      <c r="T98" s="4"/>
      <c r="U98" s="4"/>
      <c r="V98" s="4"/>
      <c r="W98" s="4"/>
      <c r="X98" s="4"/>
      <c r="Y98" s="124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9"/>
      <c r="CD98" s="9"/>
      <c r="CE98" s="9"/>
      <c r="CF98" s="9"/>
      <c r="CG98" s="9"/>
      <c r="CH98" s="9"/>
      <c r="CI98" s="9"/>
      <c r="CJ98" s="9"/>
      <c r="CK98" s="9"/>
      <c r="CL98" s="9"/>
      <c r="CM98" s="9"/>
      <c r="CN98" s="9"/>
      <c r="CO98" s="9"/>
      <c r="CP98" s="9"/>
      <c r="CQ98" s="9"/>
      <c r="CR98" s="9"/>
      <c r="CS98" s="9"/>
      <c r="CT98" s="9"/>
      <c r="CU98" s="9"/>
      <c r="CV98" s="9"/>
      <c r="CW98" s="9"/>
      <c r="CX98" s="9"/>
      <c r="CY98" s="9"/>
      <c r="CZ98" s="9"/>
      <c r="DA98" s="9"/>
      <c r="DB98" s="9"/>
      <c r="DC98" s="9"/>
      <c r="DD98" s="9"/>
      <c r="DE98" s="9"/>
      <c r="DF98" s="9"/>
      <c r="DG98" s="9"/>
      <c r="DH98" s="9"/>
      <c r="DI98" s="9"/>
      <c r="DJ98" s="9"/>
      <c r="DK98" s="9"/>
      <c r="DL98" s="9"/>
      <c r="DM98" s="8"/>
      <c r="DN98" s="8"/>
      <c r="DO98" s="8"/>
      <c r="DP98" s="8"/>
      <c r="DQ98" s="8"/>
      <c r="DR98" s="8"/>
      <c r="DS98" s="8"/>
      <c r="DT98" s="8"/>
      <c r="DU98" s="8"/>
      <c r="DV98" s="8"/>
      <c r="DW98" s="8"/>
      <c r="DX98" s="8"/>
      <c r="DY98" s="8"/>
      <c r="DZ98" s="8"/>
      <c r="EA98" s="8"/>
      <c r="EB98" s="8"/>
      <c r="EC98" s="8"/>
      <c r="ED98" s="8"/>
      <c r="EE98" s="8"/>
      <c r="EF98" s="8"/>
      <c r="EG98" s="8"/>
      <c r="EH98" s="8"/>
      <c r="EI98" s="8"/>
      <c r="EJ98" s="8"/>
      <c r="EK98" s="8"/>
      <c r="EL98" s="8"/>
      <c r="EM98" s="8"/>
      <c r="EN98" s="8"/>
      <c r="EO98" s="7"/>
      <c r="EP98" s="7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</row>
    <row r="99" spans="1:168" ht="18" x14ac:dyDescent="0.3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5"/>
      <c r="T99" s="4"/>
      <c r="U99" s="4"/>
      <c r="V99" s="4"/>
      <c r="W99" s="4"/>
      <c r="X99" s="4"/>
      <c r="Y99" s="124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9"/>
      <c r="CF99" s="9"/>
      <c r="CG99" s="9"/>
      <c r="CH99" s="9"/>
      <c r="CI99" s="9"/>
      <c r="CJ99" s="9"/>
      <c r="CK99" s="9"/>
      <c r="CL99" s="9"/>
      <c r="CM99" s="9"/>
      <c r="CN99" s="9"/>
      <c r="CO99" s="9"/>
      <c r="CP99" s="9"/>
      <c r="CQ99" s="9"/>
      <c r="CR99" s="9"/>
      <c r="CS99" s="9"/>
      <c r="CT99" s="9"/>
      <c r="CU99" s="9"/>
      <c r="CV99" s="9"/>
      <c r="CW99" s="9"/>
      <c r="CX99" s="9"/>
      <c r="CY99" s="9"/>
      <c r="CZ99" s="9"/>
      <c r="DA99" s="9"/>
      <c r="DB99" s="9"/>
      <c r="DC99" s="9"/>
      <c r="DD99" s="9"/>
      <c r="DE99" s="9"/>
      <c r="DF99" s="9"/>
      <c r="DG99" s="9"/>
      <c r="DH99" s="9"/>
      <c r="DI99" s="9"/>
      <c r="DJ99" s="9"/>
      <c r="DK99" s="9"/>
      <c r="DL99" s="9"/>
      <c r="DM99" s="8"/>
      <c r="DN99" s="8"/>
      <c r="DO99" s="8"/>
      <c r="DP99" s="8"/>
      <c r="DQ99" s="8"/>
      <c r="DR99" s="8"/>
      <c r="DS99" s="8"/>
      <c r="DT99" s="8"/>
      <c r="DU99" s="8"/>
      <c r="DV99" s="8"/>
      <c r="DW99" s="8"/>
      <c r="DX99" s="8"/>
      <c r="DY99" s="8"/>
      <c r="DZ99" s="8"/>
      <c r="EA99" s="8"/>
      <c r="EB99" s="8"/>
      <c r="EC99" s="8"/>
      <c r="ED99" s="8"/>
      <c r="EE99" s="8"/>
      <c r="EF99" s="8"/>
      <c r="EG99" s="8"/>
      <c r="EH99" s="8"/>
      <c r="EI99" s="8"/>
      <c r="EJ99" s="8"/>
      <c r="EK99" s="8"/>
      <c r="EL99" s="8"/>
      <c r="EM99" s="8"/>
      <c r="EN99" s="8"/>
      <c r="EO99" s="7"/>
      <c r="EP99" s="7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</row>
    <row r="100" spans="1:168" ht="18" x14ac:dyDescent="0.3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5"/>
      <c r="T100" s="4"/>
      <c r="U100" s="4"/>
      <c r="V100" s="4"/>
      <c r="W100" s="4"/>
      <c r="X100" s="4"/>
      <c r="Y100" s="124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  <c r="CD100" s="9"/>
      <c r="CE100" s="9"/>
      <c r="CF100" s="9"/>
      <c r="CG100" s="9"/>
      <c r="CH100" s="9"/>
      <c r="CI100" s="9"/>
      <c r="CJ100" s="9"/>
      <c r="CK100" s="9"/>
      <c r="CL100" s="9"/>
      <c r="CM100" s="9"/>
      <c r="CN100" s="9"/>
      <c r="CO100" s="9"/>
      <c r="CP100" s="9"/>
      <c r="CQ100" s="9"/>
      <c r="CR100" s="9"/>
      <c r="CS100" s="9"/>
      <c r="CT100" s="9"/>
      <c r="CU100" s="9"/>
      <c r="CV100" s="9"/>
      <c r="CW100" s="9"/>
      <c r="CX100" s="9"/>
      <c r="CY100" s="9"/>
      <c r="CZ100" s="9"/>
      <c r="DA100" s="9"/>
      <c r="DB100" s="9"/>
      <c r="DC100" s="9"/>
      <c r="DD100" s="9"/>
      <c r="DE100" s="9"/>
      <c r="DF100" s="9"/>
      <c r="DG100" s="9"/>
      <c r="DH100" s="9"/>
      <c r="DI100" s="9"/>
      <c r="DJ100" s="9"/>
      <c r="DK100" s="9"/>
      <c r="DL100" s="9"/>
      <c r="DM100" s="8"/>
      <c r="DN100" s="8"/>
      <c r="DO100" s="8"/>
      <c r="DP100" s="8"/>
      <c r="DQ100" s="8"/>
      <c r="DR100" s="8"/>
      <c r="DS100" s="8"/>
      <c r="DT100" s="8"/>
      <c r="DU100" s="8"/>
      <c r="DV100" s="8"/>
      <c r="DW100" s="8"/>
      <c r="DX100" s="8"/>
      <c r="DY100" s="8"/>
      <c r="DZ100" s="8"/>
      <c r="EA100" s="8"/>
      <c r="EB100" s="8"/>
      <c r="EC100" s="8"/>
      <c r="ED100" s="8"/>
      <c r="EE100" s="8"/>
      <c r="EF100" s="8"/>
      <c r="EG100" s="8"/>
      <c r="EH100" s="8"/>
      <c r="EI100" s="8"/>
      <c r="EJ100" s="8"/>
      <c r="EK100" s="8"/>
      <c r="EL100" s="8"/>
      <c r="EM100" s="8"/>
      <c r="EN100" s="8"/>
      <c r="EO100" s="7"/>
      <c r="EP100" s="7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</row>
    <row r="101" spans="1:168" ht="18" x14ac:dyDescent="0.3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5"/>
      <c r="T101" s="4"/>
      <c r="U101" s="4"/>
      <c r="V101" s="4"/>
      <c r="W101" s="4"/>
      <c r="X101" s="4"/>
      <c r="Y101" s="124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9"/>
      <c r="CC101" s="9"/>
      <c r="CD101" s="9"/>
      <c r="CE101" s="9"/>
      <c r="CF101" s="9"/>
      <c r="CG101" s="9"/>
      <c r="CH101" s="9"/>
      <c r="CI101" s="9"/>
      <c r="CJ101" s="9"/>
      <c r="CK101" s="9"/>
      <c r="CL101" s="9"/>
      <c r="CM101" s="9"/>
      <c r="CN101" s="9"/>
      <c r="CO101" s="9"/>
      <c r="CP101" s="9"/>
      <c r="CQ101" s="9"/>
      <c r="CR101" s="9"/>
      <c r="CS101" s="9"/>
      <c r="CT101" s="9"/>
      <c r="CU101" s="9"/>
      <c r="CV101" s="9"/>
      <c r="CW101" s="9"/>
      <c r="CX101" s="9"/>
      <c r="CY101" s="9"/>
      <c r="CZ101" s="9"/>
      <c r="DA101" s="9"/>
      <c r="DB101" s="9"/>
      <c r="DC101" s="9"/>
      <c r="DD101" s="9"/>
      <c r="DE101" s="9"/>
      <c r="DF101" s="9"/>
      <c r="DG101" s="9"/>
      <c r="DH101" s="9"/>
      <c r="DI101" s="9"/>
      <c r="DJ101" s="9"/>
      <c r="DK101" s="9"/>
      <c r="DL101" s="9"/>
      <c r="DM101" s="8"/>
      <c r="DN101" s="8"/>
      <c r="DO101" s="8"/>
      <c r="DP101" s="8"/>
      <c r="DQ101" s="8"/>
      <c r="DR101" s="8"/>
      <c r="DS101" s="8"/>
      <c r="DT101" s="8"/>
      <c r="DU101" s="8"/>
      <c r="DV101" s="8"/>
      <c r="DW101" s="8"/>
      <c r="DX101" s="8"/>
      <c r="DY101" s="8"/>
      <c r="DZ101" s="8"/>
      <c r="EA101" s="8"/>
      <c r="EB101" s="8"/>
      <c r="EC101" s="8"/>
      <c r="ED101" s="8"/>
      <c r="EE101" s="8"/>
      <c r="EF101" s="8"/>
      <c r="EG101" s="8"/>
      <c r="EH101" s="8"/>
      <c r="EI101" s="8"/>
      <c r="EJ101" s="8"/>
      <c r="EK101" s="8"/>
      <c r="EL101" s="8"/>
      <c r="EM101" s="8"/>
      <c r="EN101" s="8"/>
      <c r="EO101" s="7"/>
      <c r="EP101" s="7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</row>
    <row r="102" spans="1:168" ht="18" x14ac:dyDescent="0.3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5"/>
      <c r="T102" s="4"/>
      <c r="U102" s="4"/>
      <c r="V102" s="4"/>
      <c r="W102" s="4"/>
      <c r="X102" s="4"/>
      <c r="Y102" s="124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9"/>
      <c r="CC102" s="9"/>
      <c r="CD102" s="9"/>
      <c r="CE102" s="9"/>
      <c r="CF102" s="9"/>
      <c r="CG102" s="9"/>
      <c r="CH102" s="9"/>
      <c r="CI102" s="9"/>
      <c r="CJ102" s="9"/>
      <c r="CK102" s="9"/>
      <c r="CL102" s="9"/>
      <c r="CM102" s="9"/>
      <c r="CN102" s="9"/>
      <c r="CO102" s="9"/>
      <c r="CP102" s="9"/>
      <c r="CQ102" s="9"/>
      <c r="CR102" s="9"/>
      <c r="CS102" s="9"/>
      <c r="CT102" s="9"/>
      <c r="CU102" s="9"/>
      <c r="CV102" s="9"/>
      <c r="CW102" s="9"/>
      <c r="CX102" s="9"/>
      <c r="CY102" s="9"/>
      <c r="CZ102" s="9"/>
      <c r="DA102" s="9"/>
      <c r="DB102" s="9"/>
      <c r="DC102" s="9"/>
      <c r="DD102" s="9"/>
      <c r="DE102" s="9"/>
      <c r="DF102" s="9"/>
      <c r="DG102" s="9"/>
      <c r="DH102" s="9"/>
      <c r="DI102" s="9"/>
      <c r="DJ102" s="9"/>
      <c r="DK102" s="9"/>
      <c r="DL102" s="9"/>
      <c r="DM102" s="8"/>
      <c r="DN102" s="8"/>
      <c r="DO102" s="8"/>
      <c r="DP102" s="8"/>
      <c r="DQ102" s="8"/>
      <c r="DR102" s="8"/>
      <c r="DS102" s="8"/>
      <c r="DT102" s="8"/>
      <c r="DU102" s="8"/>
      <c r="DV102" s="8"/>
      <c r="DW102" s="8"/>
      <c r="DX102" s="8"/>
      <c r="DY102" s="8"/>
      <c r="DZ102" s="8"/>
      <c r="EA102" s="8"/>
      <c r="EB102" s="8"/>
      <c r="EC102" s="8"/>
      <c r="ED102" s="8"/>
      <c r="EE102" s="8"/>
      <c r="EF102" s="8"/>
      <c r="EG102" s="8"/>
      <c r="EH102" s="8"/>
      <c r="EI102" s="8"/>
      <c r="EJ102" s="8"/>
      <c r="EK102" s="8"/>
      <c r="EL102" s="8"/>
      <c r="EM102" s="8"/>
      <c r="EN102" s="8"/>
      <c r="EO102" s="7"/>
      <c r="EP102" s="7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</row>
    <row r="103" spans="1:168" ht="18" x14ac:dyDescent="0.3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5"/>
      <c r="T103" s="4"/>
      <c r="U103" s="4"/>
      <c r="V103" s="4"/>
      <c r="W103" s="4"/>
      <c r="X103" s="4"/>
      <c r="Y103" s="124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BZ103" s="9"/>
      <c r="CA103" s="9"/>
      <c r="CB103" s="9"/>
      <c r="CC103" s="9"/>
      <c r="CD103" s="9"/>
      <c r="CE103" s="9"/>
      <c r="CF103" s="9"/>
      <c r="CG103" s="9"/>
      <c r="CH103" s="9"/>
      <c r="CI103" s="9"/>
      <c r="CJ103" s="9"/>
      <c r="CK103" s="9"/>
      <c r="CL103" s="9"/>
      <c r="CM103" s="9"/>
      <c r="CN103" s="9"/>
      <c r="CO103" s="9"/>
      <c r="CP103" s="9"/>
      <c r="CQ103" s="9"/>
      <c r="CR103" s="9"/>
      <c r="CS103" s="9"/>
      <c r="CT103" s="9"/>
      <c r="CU103" s="9"/>
      <c r="CV103" s="9"/>
      <c r="CW103" s="9"/>
      <c r="CX103" s="9"/>
      <c r="CY103" s="9"/>
      <c r="CZ103" s="9"/>
      <c r="DA103" s="9"/>
      <c r="DB103" s="9"/>
      <c r="DC103" s="9"/>
      <c r="DD103" s="9"/>
      <c r="DE103" s="9"/>
      <c r="DF103" s="9"/>
      <c r="DG103" s="9"/>
      <c r="DH103" s="9"/>
      <c r="DI103" s="9"/>
      <c r="DJ103" s="9"/>
      <c r="DK103" s="9"/>
      <c r="DL103" s="9"/>
      <c r="DM103" s="8"/>
      <c r="DN103" s="8"/>
      <c r="DO103" s="8"/>
      <c r="DP103" s="8"/>
      <c r="DQ103" s="8"/>
      <c r="DR103" s="8"/>
      <c r="DS103" s="8"/>
      <c r="DT103" s="8"/>
      <c r="DU103" s="8"/>
      <c r="DV103" s="8"/>
      <c r="DW103" s="8"/>
      <c r="DX103" s="8"/>
      <c r="DY103" s="8"/>
      <c r="DZ103" s="8"/>
      <c r="EA103" s="8"/>
      <c r="EB103" s="8"/>
      <c r="EC103" s="8"/>
      <c r="ED103" s="8"/>
      <c r="EE103" s="8"/>
      <c r="EF103" s="8"/>
      <c r="EG103" s="8"/>
      <c r="EH103" s="8"/>
      <c r="EI103" s="8"/>
      <c r="EJ103" s="8"/>
      <c r="EK103" s="8"/>
      <c r="EL103" s="8"/>
      <c r="EM103" s="8"/>
      <c r="EN103" s="8"/>
      <c r="EO103" s="7"/>
      <c r="EP103" s="7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</row>
    <row r="104" spans="1:168" ht="18" x14ac:dyDescent="0.3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5"/>
      <c r="T104" s="4"/>
      <c r="U104" s="4"/>
      <c r="V104" s="4"/>
      <c r="W104" s="4"/>
      <c r="X104" s="4"/>
      <c r="Y104" s="124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9"/>
      <c r="CC104" s="9"/>
      <c r="CD104" s="9"/>
      <c r="CE104" s="9"/>
      <c r="CF104" s="9"/>
      <c r="CG104" s="9"/>
      <c r="CH104" s="9"/>
      <c r="CI104" s="9"/>
      <c r="CJ104" s="9"/>
      <c r="CK104" s="9"/>
      <c r="CL104" s="9"/>
      <c r="CM104" s="9"/>
      <c r="CN104" s="9"/>
      <c r="CO104" s="9"/>
      <c r="CP104" s="9"/>
      <c r="CQ104" s="9"/>
      <c r="CR104" s="9"/>
      <c r="CS104" s="9"/>
      <c r="CT104" s="9"/>
      <c r="CU104" s="9"/>
      <c r="CV104" s="9"/>
      <c r="CW104" s="9"/>
      <c r="CX104" s="9"/>
      <c r="CY104" s="9"/>
      <c r="CZ104" s="9"/>
      <c r="DA104" s="9"/>
      <c r="DB104" s="9"/>
      <c r="DC104" s="9"/>
      <c r="DD104" s="9"/>
      <c r="DE104" s="9"/>
      <c r="DF104" s="9"/>
      <c r="DG104" s="9"/>
      <c r="DH104" s="9"/>
      <c r="DI104" s="9"/>
      <c r="DJ104" s="9"/>
      <c r="DK104" s="9"/>
      <c r="DL104" s="9"/>
      <c r="DM104" s="8"/>
      <c r="DN104" s="8"/>
      <c r="DO104" s="8"/>
      <c r="DP104" s="8"/>
      <c r="DQ104" s="8"/>
      <c r="DR104" s="8"/>
      <c r="DS104" s="8"/>
      <c r="DT104" s="8"/>
      <c r="DU104" s="8"/>
      <c r="DV104" s="8"/>
      <c r="DW104" s="8"/>
      <c r="DX104" s="8"/>
      <c r="DY104" s="8"/>
      <c r="DZ104" s="8"/>
      <c r="EA104" s="8"/>
      <c r="EB104" s="8"/>
      <c r="EC104" s="8"/>
      <c r="ED104" s="8"/>
      <c r="EE104" s="8"/>
      <c r="EF104" s="8"/>
      <c r="EG104" s="8"/>
      <c r="EH104" s="8"/>
      <c r="EI104" s="8"/>
      <c r="EJ104" s="8"/>
      <c r="EK104" s="8"/>
      <c r="EL104" s="8"/>
      <c r="EM104" s="8"/>
      <c r="EN104" s="8"/>
      <c r="EO104" s="7"/>
      <c r="EP104" s="7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</row>
    <row r="105" spans="1:168" ht="18" x14ac:dyDescent="0.3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5"/>
      <c r="T105" s="4"/>
      <c r="U105" s="4"/>
      <c r="V105" s="4"/>
      <c r="W105" s="4"/>
      <c r="X105" s="4"/>
      <c r="Y105" s="124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9"/>
      <c r="DD105" s="9"/>
      <c r="DE105" s="9"/>
      <c r="DF105" s="9"/>
      <c r="DG105" s="9"/>
      <c r="DH105" s="9"/>
      <c r="DI105" s="9"/>
      <c r="DJ105" s="9"/>
      <c r="DK105" s="9"/>
      <c r="DL105" s="9"/>
      <c r="DM105" s="8"/>
      <c r="DN105" s="8"/>
      <c r="DO105" s="8"/>
      <c r="DP105" s="8"/>
      <c r="DQ105" s="8"/>
      <c r="DR105" s="8"/>
      <c r="DS105" s="8"/>
      <c r="DT105" s="8"/>
      <c r="DU105" s="8"/>
      <c r="DV105" s="8"/>
      <c r="DW105" s="8"/>
      <c r="DX105" s="8"/>
      <c r="DY105" s="8"/>
      <c r="DZ105" s="8"/>
      <c r="EA105" s="8"/>
      <c r="EB105" s="8"/>
      <c r="EC105" s="8"/>
      <c r="ED105" s="8"/>
      <c r="EE105" s="8"/>
      <c r="EF105" s="8"/>
      <c r="EG105" s="8"/>
      <c r="EH105" s="8"/>
      <c r="EI105" s="8"/>
      <c r="EJ105" s="8"/>
      <c r="EK105" s="8"/>
      <c r="EL105" s="8"/>
      <c r="EM105" s="8"/>
      <c r="EN105" s="8"/>
      <c r="EO105" s="7"/>
      <c r="EP105" s="7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</row>
    <row r="106" spans="1:168" ht="18" x14ac:dyDescent="0.3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5"/>
      <c r="T106" s="4"/>
      <c r="U106" s="4"/>
      <c r="V106" s="4"/>
      <c r="W106" s="4"/>
      <c r="X106" s="4"/>
      <c r="Y106" s="124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  <c r="DC106" s="9"/>
      <c r="DD106" s="9"/>
      <c r="DE106" s="9"/>
      <c r="DF106" s="9"/>
      <c r="DG106" s="9"/>
      <c r="DH106" s="9"/>
      <c r="DI106" s="9"/>
      <c r="DJ106" s="9"/>
      <c r="DK106" s="9"/>
      <c r="DL106" s="9"/>
      <c r="DM106" s="8"/>
      <c r="DN106" s="8"/>
      <c r="DO106" s="8"/>
      <c r="DP106" s="8"/>
      <c r="DQ106" s="8"/>
      <c r="DR106" s="8"/>
      <c r="DS106" s="8"/>
      <c r="DT106" s="8"/>
      <c r="DU106" s="8"/>
      <c r="DV106" s="8"/>
      <c r="DW106" s="8"/>
      <c r="DX106" s="8"/>
      <c r="DY106" s="8"/>
      <c r="DZ106" s="8"/>
      <c r="EA106" s="8"/>
      <c r="EB106" s="8"/>
      <c r="EC106" s="8"/>
      <c r="ED106" s="8"/>
      <c r="EE106" s="8"/>
      <c r="EF106" s="8"/>
      <c r="EG106" s="8"/>
      <c r="EH106" s="8"/>
      <c r="EI106" s="8"/>
      <c r="EJ106" s="8"/>
      <c r="EK106" s="8"/>
      <c r="EL106" s="8"/>
      <c r="EM106" s="8"/>
      <c r="EN106" s="8"/>
      <c r="EO106" s="7"/>
      <c r="EP106" s="7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</row>
    <row r="107" spans="1:168" ht="18" x14ac:dyDescent="0.3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5"/>
      <c r="T107" s="4"/>
      <c r="U107" s="4"/>
      <c r="V107" s="4"/>
      <c r="W107" s="4"/>
      <c r="X107" s="4"/>
      <c r="Y107" s="124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  <c r="DC107" s="9"/>
      <c r="DD107" s="9"/>
      <c r="DE107" s="9"/>
      <c r="DF107" s="9"/>
      <c r="DG107" s="9"/>
      <c r="DH107" s="9"/>
      <c r="DI107" s="9"/>
      <c r="DJ107" s="9"/>
      <c r="DK107" s="9"/>
      <c r="DL107" s="9"/>
      <c r="DM107" s="8"/>
      <c r="DN107" s="8"/>
      <c r="DO107" s="8"/>
      <c r="DP107" s="8"/>
      <c r="DQ107" s="8"/>
      <c r="DR107" s="8"/>
      <c r="DS107" s="8"/>
      <c r="DT107" s="8"/>
      <c r="DU107" s="8"/>
      <c r="DV107" s="8"/>
      <c r="DW107" s="8"/>
      <c r="DX107" s="8"/>
      <c r="DY107" s="8"/>
      <c r="DZ107" s="8"/>
      <c r="EA107" s="8"/>
      <c r="EB107" s="8"/>
      <c r="EC107" s="8"/>
      <c r="ED107" s="8"/>
      <c r="EE107" s="8"/>
      <c r="EF107" s="8"/>
      <c r="EG107" s="8"/>
      <c r="EH107" s="8"/>
      <c r="EI107" s="8"/>
      <c r="EJ107" s="8"/>
      <c r="EK107" s="8"/>
      <c r="EL107" s="8"/>
      <c r="EM107" s="8"/>
      <c r="EN107" s="8"/>
      <c r="EO107" s="7"/>
      <c r="EP107" s="7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</row>
    <row r="108" spans="1:168" ht="18" x14ac:dyDescent="0.3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5"/>
      <c r="T108" s="4"/>
      <c r="U108" s="4"/>
      <c r="V108" s="4"/>
      <c r="W108" s="4"/>
      <c r="X108" s="4"/>
      <c r="Y108" s="124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  <c r="DC108" s="9"/>
      <c r="DD108" s="9"/>
      <c r="DE108" s="9"/>
      <c r="DF108" s="9"/>
      <c r="DG108" s="9"/>
      <c r="DH108" s="9"/>
      <c r="DI108" s="9"/>
      <c r="DJ108" s="9"/>
      <c r="DK108" s="9"/>
      <c r="DL108" s="9"/>
      <c r="DM108" s="8"/>
      <c r="DN108" s="8"/>
      <c r="DO108" s="8"/>
      <c r="DP108" s="8"/>
      <c r="DQ108" s="8"/>
      <c r="DR108" s="8"/>
      <c r="DS108" s="8"/>
      <c r="DT108" s="8"/>
      <c r="DU108" s="8"/>
      <c r="DV108" s="8"/>
      <c r="DW108" s="8"/>
      <c r="DX108" s="8"/>
      <c r="DY108" s="8"/>
      <c r="DZ108" s="8"/>
      <c r="EA108" s="8"/>
      <c r="EB108" s="8"/>
      <c r="EC108" s="8"/>
      <c r="ED108" s="8"/>
      <c r="EE108" s="8"/>
      <c r="EF108" s="8"/>
      <c r="EG108" s="8"/>
      <c r="EH108" s="8"/>
      <c r="EI108" s="8"/>
      <c r="EJ108" s="8"/>
      <c r="EK108" s="8"/>
      <c r="EL108" s="8"/>
      <c r="EM108" s="8"/>
      <c r="EN108" s="8"/>
      <c r="EO108" s="7"/>
      <c r="EP108" s="7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</row>
    <row r="109" spans="1:168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5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</row>
    <row r="110" spans="1:168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5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</row>
    <row r="111" spans="1:168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5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</row>
    <row r="112" spans="1:168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5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</row>
    <row r="113" spans="1:116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5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</row>
    <row r="114" spans="1:116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5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</row>
    <row r="115" spans="1:116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5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</row>
    <row r="116" spans="1:116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5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</row>
    <row r="117" spans="1:116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5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</row>
    <row r="118" spans="1:116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5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</row>
    <row r="119" spans="1:116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5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</row>
    <row r="120" spans="1:116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5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</row>
    <row r="121" spans="1:116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5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</row>
    <row r="122" spans="1:116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5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</row>
    <row r="123" spans="1:116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5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</row>
    <row r="124" spans="1:116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5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</row>
    <row r="125" spans="1:116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5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</row>
    <row r="126" spans="1:116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5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</row>
    <row r="127" spans="1:116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5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</row>
    <row r="128" spans="1:116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5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</row>
    <row r="129" spans="1:116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5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</row>
    <row r="130" spans="1:116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5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</row>
    <row r="131" spans="1:116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5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</row>
    <row r="132" spans="1:116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5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6"/>
      <c r="CA132" s="6"/>
      <c r="CB132" s="6"/>
      <c r="CC132" s="6"/>
      <c r="CD132" s="6"/>
      <c r="CE132" s="6"/>
      <c r="CF132" s="6"/>
      <c r="CG132" s="6"/>
      <c r="CH132" s="6"/>
      <c r="CI132" s="6"/>
      <c r="CJ132" s="6"/>
      <c r="CK132" s="6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</row>
    <row r="133" spans="1:116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5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  <c r="BY133" s="6"/>
      <c r="BZ133" s="6"/>
      <c r="CA133" s="6"/>
      <c r="CB133" s="6"/>
      <c r="CC133" s="6"/>
      <c r="CD133" s="6"/>
      <c r="CE133" s="6"/>
      <c r="CF133" s="6"/>
      <c r="CG133" s="6"/>
      <c r="CH133" s="6"/>
      <c r="CI133" s="6"/>
      <c r="CJ133" s="6"/>
      <c r="CK133" s="6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</row>
    <row r="134" spans="1:116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5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  <c r="BY134" s="6"/>
      <c r="BZ134" s="6"/>
      <c r="CA134" s="6"/>
      <c r="CB134" s="6"/>
      <c r="CC134" s="6"/>
      <c r="CD134" s="6"/>
      <c r="CE134" s="6"/>
      <c r="CF134" s="6"/>
      <c r="CG134" s="6"/>
      <c r="CH134" s="6"/>
      <c r="CI134" s="6"/>
      <c r="CJ134" s="6"/>
      <c r="CK134" s="6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</row>
    <row r="135" spans="1:116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5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6"/>
      <c r="CA135" s="6"/>
      <c r="CB135" s="6"/>
      <c r="CC135" s="6"/>
      <c r="CD135" s="6"/>
      <c r="CE135" s="6"/>
      <c r="CF135" s="6"/>
      <c r="CG135" s="6"/>
      <c r="CH135" s="6"/>
      <c r="CI135" s="6"/>
      <c r="CJ135" s="6"/>
      <c r="CK135" s="6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</row>
    <row r="136" spans="1:116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5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  <c r="BY136" s="6"/>
      <c r="BZ136" s="6"/>
      <c r="CA136" s="6"/>
      <c r="CB136" s="6"/>
      <c r="CC136" s="6"/>
      <c r="CD136" s="6"/>
      <c r="CE136" s="6"/>
      <c r="CF136" s="6"/>
      <c r="CG136" s="6"/>
      <c r="CH136" s="6"/>
      <c r="CI136" s="6"/>
      <c r="CJ136" s="6"/>
      <c r="CK136" s="6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</row>
    <row r="137" spans="1:116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5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6"/>
      <c r="BY137" s="6"/>
      <c r="BZ137" s="6"/>
      <c r="CA137" s="6"/>
      <c r="CB137" s="6"/>
      <c r="CC137" s="6"/>
      <c r="CD137" s="6"/>
      <c r="CE137" s="6"/>
      <c r="CF137" s="6"/>
      <c r="CG137" s="6"/>
      <c r="CH137" s="6"/>
      <c r="CI137" s="6"/>
      <c r="CJ137" s="6"/>
      <c r="CK137" s="6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</row>
    <row r="138" spans="1:116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5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6"/>
      <c r="CA138" s="6"/>
      <c r="CB138" s="6"/>
      <c r="CC138" s="6"/>
      <c r="CD138" s="6"/>
      <c r="CE138" s="6"/>
      <c r="CF138" s="6"/>
      <c r="CG138" s="6"/>
      <c r="CH138" s="6"/>
      <c r="CI138" s="6"/>
      <c r="CJ138" s="6"/>
      <c r="CK138" s="6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</row>
    <row r="139" spans="1:116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5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6"/>
      <c r="BZ139" s="6"/>
      <c r="CA139" s="6"/>
      <c r="CB139" s="6"/>
      <c r="CC139" s="6"/>
      <c r="CD139" s="6"/>
      <c r="CE139" s="6"/>
      <c r="CF139" s="6"/>
      <c r="CG139" s="6"/>
      <c r="CH139" s="6"/>
      <c r="CI139" s="6"/>
      <c r="CJ139" s="6"/>
      <c r="CK139" s="6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</row>
    <row r="140" spans="1:116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5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6"/>
      <c r="BZ140" s="6"/>
      <c r="CA140" s="6"/>
      <c r="CB140" s="6"/>
      <c r="CC140" s="6"/>
      <c r="CD140" s="6"/>
      <c r="CE140" s="6"/>
      <c r="CF140" s="6"/>
      <c r="CG140" s="6"/>
      <c r="CH140" s="6"/>
      <c r="CI140" s="6"/>
      <c r="CJ140" s="6"/>
      <c r="CK140" s="6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</row>
    <row r="141" spans="1:116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5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6"/>
      <c r="BZ141" s="6"/>
      <c r="CA141" s="6"/>
      <c r="CB141" s="6"/>
      <c r="CC141" s="6"/>
      <c r="CD141" s="6"/>
      <c r="CE141" s="6"/>
      <c r="CF141" s="6"/>
      <c r="CG141" s="6"/>
      <c r="CH141" s="6"/>
      <c r="CI141" s="6"/>
      <c r="CJ141" s="6"/>
      <c r="CK141" s="6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</row>
    <row r="142" spans="1:116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5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6"/>
      <c r="CA142" s="6"/>
      <c r="CB142" s="6"/>
      <c r="CC142" s="6"/>
      <c r="CD142" s="6"/>
      <c r="CE142" s="6"/>
      <c r="CF142" s="6"/>
      <c r="CG142" s="6"/>
      <c r="CH142" s="6"/>
      <c r="CI142" s="6"/>
      <c r="CJ142" s="6"/>
      <c r="CK142" s="6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</row>
    <row r="143" spans="1:116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5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/>
      <c r="BZ143" s="6"/>
      <c r="CA143" s="6"/>
      <c r="CB143" s="6"/>
      <c r="CC143" s="6"/>
      <c r="CD143" s="6"/>
      <c r="CE143" s="6"/>
      <c r="CF143" s="6"/>
      <c r="CG143" s="6"/>
      <c r="CH143" s="6"/>
      <c r="CI143" s="6"/>
      <c r="CJ143" s="6"/>
      <c r="CK143" s="6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</row>
    <row r="144" spans="1:116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5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/>
      <c r="CA144" s="6"/>
      <c r="CB144" s="6"/>
      <c r="CC144" s="6"/>
      <c r="CD144" s="6"/>
      <c r="CE144" s="6"/>
      <c r="CF144" s="6"/>
      <c r="CG144" s="6"/>
      <c r="CH144" s="6"/>
      <c r="CI144" s="6"/>
      <c r="CJ144" s="6"/>
      <c r="CK144" s="6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</row>
    <row r="145" spans="1:116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5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  <c r="CD145" s="6"/>
      <c r="CE145" s="6"/>
      <c r="CF145" s="6"/>
      <c r="CG145" s="6"/>
      <c r="CH145" s="6"/>
      <c r="CI145" s="6"/>
      <c r="CJ145" s="6"/>
      <c r="CK145" s="6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</row>
    <row r="146" spans="1:116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5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6"/>
      <c r="CA146" s="6"/>
      <c r="CB146" s="6"/>
      <c r="CC146" s="6"/>
      <c r="CD146" s="6"/>
      <c r="CE146" s="6"/>
      <c r="CF146" s="6"/>
      <c r="CG146" s="6"/>
      <c r="CH146" s="6"/>
      <c r="CI146" s="6"/>
      <c r="CJ146" s="6"/>
      <c r="CK146" s="6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</row>
    <row r="147" spans="1:116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5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6"/>
      <c r="BN147" s="6"/>
      <c r="BO147" s="6"/>
      <c r="BP147" s="6"/>
      <c r="BQ147" s="6"/>
      <c r="BR147" s="6"/>
      <c r="BS147" s="6"/>
      <c r="BT147" s="6"/>
      <c r="BU147" s="6"/>
      <c r="BV147" s="6"/>
      <c r="BW147" s="6"/>
      <c r="BX147" s="6"/>
      <c r="BY147" s="6"/>
      <c r="BZ147" s="6"/>
      <c r="CA147" s="6"/>
      <c r="CB147" s="6"/>
      <c r="CC147" s="6"/>
      <c r="CD147" s="6"/>
      <c r="CE147" s="6"/>
      <c r="CF147" s="6"/>
      <c r="CG147" s="6"/>
      <c r="CH147" s="6"/>
      <c r="CI147" s="6"/>
      <c r="CJ147" s="6"/>
      <c r="CK147" s="6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</row>
    <row r="148" spans="1:116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5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6"/>
      <c r="CA148" s="6"/>
      <c r="CB148" s="6"/>
      <c r="CC148" s="6"/>
      <c r="CD148" s="6"/>
      <c r="CE148" s="6"/>
      <c r="CF148" s="6"/>
      <c r="CG148" s="6"/>
      <c r="CH148" s="6"/>
      <c r="CI148" s="6"/>
      <c r="CJ148" s="6"/>
      <c r="CK148" s="6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</row>
    <row r="149" spans="1:116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5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6"/>
      <c r="BZ149" s="6"/>
      <c r="CA149" s="6"/>
      <c r="CB149" s="6"/>
      <c r="CC149" s="6"/>
      <c r="CD149" s="6"/>
      <c r="CE149" s="6"/>
      <c r="CF149" s="6"/>
      <c r="CG149" s="6"/>
      <c r="CH149" s="6"/>
      <c r="CI149" s="6"/>
      <c r="CJ149" s="6"/>
      <c r="CK149" s="6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</row>
    <row r="150" spans="1:116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5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6"/>
      <c r="CJ150" s="6"/>
      <c r="CK150" s="6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</row>
    <row r="151" spans="1:116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5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/>
      <c r="BY151" s="6"/>
      <c r="BZ151" s="6"/>
      <c r="CA151" s="6"/>
      <c r="CB151" s="6"/>
      <c r="CC151" s="6"/>
      <c r="CD151" s="6"/>
      <c r="CE151" s="6"/>
      <c r="CF151" s="6"/>
      <c r="CG151" s="6"/>
      <c r="CH151" s="6"/>
      <c r="CI151" s="6"/>
      <c r="CJ151" s="6"/>
      <c r="CK151" s="6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</row>
    <row r="152" spans="1:116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5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6"/>
      <c r="CA152" s="6"/>
      <c r="CB152" s="6"/>
      <c r="CC152" s="6"/>
      <c r="CD152" s="6"/>
      <c r="CE152" s="6"/>
      <c r="CF152" s="6"/>
      <c r="CG152" s="6"/>
      <c r="CH152" s="6"/>
      <c r="CI152" s="6"/>
      <c r="CJ152" s="6"/>
      <c r="CK152" s="6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</row>
    <row r="153" spans="1:116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5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6"/>
      <c r="CA153" s="6"/>
      <c r="CB153" s="6"/>
      <c r="CC153" s="6"/>
      <c r="CD153" s="6"/>
      <c r="CE153" s="6"/>
      <c r="CF153" s="6"/>
      <c r="CG153" s="6"/>
      <c r="CH153" s="6"/>
      <c r="CI153" s="6"/>
      <c r="CJ153" s="6"/>
      <c r="CK153" s="6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</row>
    <row r="154" spans="1:116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5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  <c r="BY154" s="6"/>
      <c r="BZ154" s="6"/>
      <c r="CA154" s="6"/>
      <c r="CB154" s="6"/>
      <c r="CC154" s="6"/>
      <c r="CD154" s="6"/>
      <c r="CE154" s="6"/>
      <c r="CF154" s="6"/>
      <c r="CG154" s="6"/>
      <c r="CH154" s="6"/>
      <c r="CI154" s="6"/>
      <c r="CJ154" s="6"/>
      <c r="CK154" s="6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</row>
    <row r="155" spans="1:116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5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6"/>
      <c r="BZ155" s="6"/>
      <c r="CA155" s="6"/>
      <c r="CB155" s="6"/>
      <c r="CC155" s="6"/>
      <c r="CD155" s="6"/>
      <c r="CE155" s="6"/>
      <c r="CF155" s="6"/>
      <c r="CG155" s="6"/>
      <c r="CH155" s="6"/>
      <c r="CI155" s="6"/>
      <c r="CJ155" s="6"/>
      <c r="CK155" s="6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</row>
    <row r="156" spans="1:116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5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6"/>
      <c r="CA156" s="6"/>
      <c r="CB156" s="6"/>
      <c r="CC156" s="6"/>
      <c r="CD156" s="6"/>
      <c r="CE156" s="6"/>
      <c r="CF156" s="6"/>
      <c r="CG156" s="6"/>
      <c r="CH156" s="6"/>
      <c r="CI156" s="6"/>
      <c r="CJ156" s="6"/>
      <c r="CK156" s="6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</row>
    <row r="157" spans="1:116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5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/>
      <c r="BZ157" s="6"/>
      <c r="CA157" s="6"/>
      <c r="CB157" s="6"/>
      <c r="CC157" s="6"/>
      <c r="CD157" s="6"/>
      <c r="CE157" s="6"/>
      <c r="CF157" s="6"/>
      <c r="CG157" s="6"/>
      <c r="CH157" s="6"/>
      <c r="CI157" s="6"/>
      <c r="CJ157" s="6"/>
      <c r="CK157" s="6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</row>
    <row r="158" spans="1:116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5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 s="6"/>
      <c r="CH158" s="6"/>
      <c r="CI158" s="6"/>
      <c r="CJ158" s="6"/>
      <c r="CK158" s="6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</row>
    <row r="159" spans="1:116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5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  <c r="BY159" s="6"/>
      <c r="BZ159" s="6"/>
      <c r="CA159" s="6"/>
      <c r="CB159" s="6"/>
      <c r="CC159" s="6"/>
      <c r="CD159" s="6"/>
      <c r="CE159" s="6"/>
      <c r="CF159" s="6"/>
      <c r="CG159" s="6"/>
      <c r="CH159" s="6"/>
      <c r="CI159" s="6"/>
      <c r="CJ159" s="6"/>
      <c r="CK159" s="6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</row>
    <row r="160" spans="1:116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5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6"/>
      <c r="CC160" s="6"/>
      <c r="CD160" s="6"/>
      <c r="CE160" s="6"/>
      <c r="CF160" s="6"/>
      <c r="CG160" s="6"/>
      <c r="CH160" s="6"/>
      <c r="CI160" s="6"/>
      <c r="CJ160" s="6"/>
      <c r="CK160" s="6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</row>
    <row r="161" spans="1:116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5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6"/>
      <c r="BY161" s="6"/>
      <c r="BZ161" s="6"/>
      <c r="CA161" s="6"/>
      <c r="CB161" s="6"/>
      <c r="CC161" s="6"/>
      <c r="CD161" s="6"/>
      <c r="CE161" s="6"/>
      <c r="CF161" s="6"/>
      <c r="CG161" s="6"/>
      <c r="CH161" s="6"/>
      <c r="CI161" s="6"/>
      <c r="CJ161" s="6"/>
      <c r="CK161" s="6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</row>
    <row r="162" spans="1:116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5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6"/>
      <c r="CA162" s="6"/>
      <c r="CB162" s="6"/>
      <c r="CC162" s="6"/>
      <c r="CD162" s="6"/>
      <c r="CE162" s="6"/>
      <c r="CF162" s="6"/>
      <c r="CG162" s="6"/>
      <c r="CH162" s="6"/>
      <c r="CI162" s="6"/>
      <c r="CJ162" s="6"/>
      <c r="CK162" s="6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</row>
    <row r="163" spans="1:116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5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/>
      <c r="BY163" s="6"/>
      <c r="BZ163" s="6"/>
      <c r="CA163" s="6"/>
      <c r="CB163" s="6"/>
      <c r="CC163" s="6"/>
      <c r="CD163" s="6"/>
      <c r="CE163" s="6"/>
      <c r="CF163" s="6"/>
      <c r="CG163" s="6"/>
      <c r="CH163" s="6"/>
      <c r="CI163" s="6"/>
      <c r="CJ163" s="6"/>
      <c r="CK163" s="6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</row>
    <row r="164" spans="1:116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5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B164" s="6"/>
      <c r="CC164" s="6"/>
      <c r="CD164" s="6"/>
      <c r="CE164" s="6"/>
      <c r="CF164" s="6"/>
      <c r="CG164" s="6"/>
      <c r="CH164" s="6"/>
      <c r="CI164" s="6"/>
      <c r="CJ164" s="6"/>
      <c r="CK164" s="6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</row>
    <row r="165" spans="1:116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5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6"/>
      <c r="BY165" s="6"/>
      <c r="BZ165" s="6"/>
      <c r="CA165" s="6"/>
      <c r="CB165" s="6"/>
      <c r="CC165" s="6"/>
      <c r="CD165" s="6"/>
      <c r="CE165" s="6"/>
      <c r="CF165" s="6"/>
      <c r="CG165" s="6"/>
      <c r="CH165" s="6"/>
      <c r="CI165" s="6"/>
      <c r="CJ165" s="6"/>
      <c r="CK165" s="6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  <c r="DJ165" s="4"/>
      <c r="DK165" s="4"/>
      <c r="DL165" s="4"/>
    </row>
    <row r="166" spans="1:116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5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  <c r="BY166" s="6"/>
      <c r="BZ166" s="6"/>
      <c r="CA166" s="6"/>
      <c r="CB166" s="6"/>
      <c r="CC166" s="6"/>
      <c r="CD166" s="6"/>
      <c r="CE166" s="6"/>
      <c r="CF166" s="6"/>
      <c r="CG166" s="6"/>
      <c r="CH166" s="6"/>
      <c r="CI166" s="6"/>
      <c r="CJ166" s="6"/>
      <c r="CK166" s="6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4"/>
      <c r="DB166" s="4"/>
      <c r="DC166" s="4"/>
      <c r="DD166" s="4"/>
      <c r="DE166" s="4"/>
      <c r="DF166" s="4"/>
      <c r="DG166" s="4"/>
      <c r="DH166" s="4"/>
      <c r="DI166" s="4"/>
      <c r="DJ166" s="4"/>
      <c r="DK166" s="4"/>
      <c r="DL166" s="4"/>
    </row>
    <row r="167" spans="1:116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5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6"/>
      <c r="BN167" s="6"/>
      <c r="BO167" s="6"/>
      <c r="BP167" s="6"/>
      <c r="BQ167" s="6"/>
      <c r="BR167" s="6"/>
      <c r="BS167" s="6"/>
      <c r="BT167" s="6"/>
      <c r="BU167" s="6"/>
      <c r="BV167" s="6"/>
      <c r="BW167" s="6"/>
      <c r="BX167" s="6"/>
      <c r="BY167" s="6"/>
      <c r="BZ167" s="6"/>
      <c r="CA167" s="6"/>
      <c r="CB167" s="6"/>
      <c r="CC167" s="6"/>
      <c r="CD167" s="6"/>
      <c r="CE167" s="6"/>
      <c r="CF167" s="6"/>
      <c r="CG167" s="6"/>
      <c r="CH167" s="6"/>
      <c r="CI167" s="6"/>
      <c r="CJ167" s="6"/>
      <c r="CK167" s="6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  <c r="DA167" s="4"/>
      <c r="DB167" s="4"/>
      <c r="DC167" s="4"/>
      <c r="DD167" s="4"/>
      <c r="DE167" s="4"/>
      <c r="DF167" s="4"/>
      <c r="DG167" s="4"/>
      <c r="DH167" s="4"/>
      <c r="DI167" s="4"/>
      <c r="DJ167" s="4"/>
      <c r="DK167" s="4"/>
      <c r="DL167" s="4"/>
    </row>
    <row r="168" spans="1:116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5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6"/>
      <c r="BZ168" s="6"/>
      <c r="CA168" s="6"/>
      <c r="CB168" s="6"/>
      <c r="CC168" s="6"/>
      <c r="CD168" s="6"/>
      <c r="CE168" s="6"/>
      <c r="CF168" s="6"/>
      <c r="CG168" s="6"/>
      <c r="CH168" s="6"/>
      <c r="CI168" s="6"/>
      <c r="CJ168" s="6"/>
      <c r="CK168" s="6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  <c r="DA168" s="4"/>
      <c r="DB168" s="4"/>
      <c r="DC168" s="4"/>
      <c r="DD168" s="4"/>
      <c r="DE168" s="4"/>
      <c r="DF168" s="4"/>
      <c r="DG168" s="4"/>
      <c r="DH168" s="4"/>
      <c r="DI168" s="4"/>
      <c r="DJ168" s="4"/>
      <c r="DK168" s="4"/>
      <c r="DL168" s="4"/>
    </row>
    <row r="169" spans="1:116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5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6"/>
      <c r="BX169" s="6"/>
      <c r="BY169" s="6"/>
      <c r="BZ169" s="6"/>
      <c r="CA169" s="6"/>
      <c r="CB169" s="6"/>
      <c r="CC169" s="6"/>
      <c r="CD169" s="6"/>
      <c r="CE169" s="6"/>
      <c r="CF169" s="6"/>
      <c r="CG169" s="6"/>
      <c r="CH169" s="6"/>
      <c r="CI169" s="6"/>
      <c r="CJ169" s="6"/>
      <c r="CK169" s="6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  <c r="DA169" s="4"/>
      <c r="DB169" s="4"/>
      <c r="DC169" s="4"/>
      <c r="DD169" s="4"/>
      <c r="DE169" s="4"/>
      <c r="DF169" s="4"/>
      <c r="DG169" s="4"/>
      <c r="DH169" s="4"/>
      <c r="DI169" s="4"/>
      <c r="DJ169" s="4"/>
      <c r="DK169" s="4"/>
      <c r="DL169" s="4"/>
    </row>
    <row r="170" spans="1:116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5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/>
      <c r="BY170" s="6"/>
      <c r="BZ170" s="6"/>
      <c r="CA170" s="6"/>
      <c r="CB170" s="6"/>
      <c r="CC170" s="6"/>
      <c r="CD170" s="6"/>
      <c r="CE170" s="6"/>
      <c r="CF170" s="6"/>
      <c r="CG170" s="6"/>
      <c r="CH170" s="6"/>
      <c r="CI170" s="6"/>
      <c r="CJ170" s="6"/>
      <c r="CK170" s="6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  <c r="DB170" s="4"/>
      <c r="DC170" s="4"/>
      <c r="DD170" s="4"/>
      <c r="DE170" s="4"/>
      <c r="DF170" s="4"/>
      <c r="DG170" s="4"/>
      <c r="DH170" s="4"/>
      <c r="DI170" s="4"/>
      <c r="DJ170" s="4"/>
      <c r="DK170" s="4"/>
      <c r="DL170" s="4"/>
    </row>
    <row r="171" spans="1:116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5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6"/>
      <c r="BN171" s="6"/>
      <c r="BO171" s="6"/>
      <c r="BP171" s="6"/>
      <c r="BQ171" s="6"/>
      <c r="BR171" s="6"/>
      <c r="BS171" s="6"/>
      <c r="BT171" s="6"/>
      <c r="BU171" s="6"/>
      <c r="BV171" s="6"/>
      <c r="BW171" s="6"/>
      <c r="BX171" s="6"/>
      <c r="BY171" s="6"/>
      <c r="BZ171" s="6"/>
      <c r="CA171" s="6"/>
      <c r="CB171" s="6"/>
      <c r="CC171" s="6"/>
      <c r="CD171" s="6"/>
      <c r="CE171" s="6"/>
      <c r="CF171" s="6"/>
      <c r="CG171" s="6"/>
      <c r="CH171" s="6"/>
      <c r="CI171" s="6"/>
      <c r="CJ171" s="6"/>
      <c r="CK171" s="6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  <c r="DA171" s="4"/>
      <c r="DB171" s="4"/>
      <c r="DC171" s="4"/>
      <c r="DD171" s="4"/>
      <c r="DE171" s="4"/>
      <c r="DF171" s="4"/>
      <c r="DG171" s="4"/>
      <c r="DH171" s="4"/>
      <c r="DI171" s="4"/>
      <c r="DJ171" s="4"/>
      <c r="DK171" s="4"/>
      <c r="DL171" s="4"/>
    </row>
    <row r="172" spans="1:116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5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6"/>
      <c r="BN172" s="6"/>
      <c r="BO172" s="6"/>
      <c r="BP172" s="6"/>
      <c r="BQ172" s="6"/>
      <c r="BR172" s="6"/>
      <c r="BS172" s="6"/>
      <c r="BT172" s="6"/>
      <c r="BU172" s="6"/>
      <c r="BV172" s="6"/>
      <c r="BW172" s="6"/>
      <c r="BX172" s="6"/>
      <c r="BY172" s="6"/>
      <c r="BZ172" s="6"/>
      <c r="CA172" s="6"/>
      <c r="CB172" s="6"/>
      <c r="CC172" s="6"/>
      <c r="CD172" s="6"/>
      <c r="CE172" s="6"/>
      <c r="CF172" s="6"/>
      <c r="CG172" s="6"/>
      <c r="CH172" s="6"/>
      <c r="CI172" s="6"/>
      <c r="CJ172" s="6"/>
      <c r="CK172" s="6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  <c r="DA172" s="4"/>
      <c r="DB172" s="4"/>
      <c r="DC172" s="4"/>
      <c r="DD172" s="4"/>
      <c r="DE172" s="4"/>
      <c r="DF172" s="4"/>
      <c r="DG172" s="4"/>
      <c r="DH172" s="4"/>
      <c r="DI172" s="4"/>
      <c r="DJ172" s="4"/>
      <c r="DK172" s="4"/>
      <c r="DL172" s="4"/>
    </row>
    <row r="173" spans="1:116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5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6"/>
      <c r="BN173" s="6"/>
      <c r="BO173" s="6"/>
      <c r="BP173" s="6"/>
      <c r="BQ173" s="6"/>
      <c r="BR173" s="6"/>
      <c r="BS173" s="6"/>
      <c r="BT173" s="6"/>
      <c r="BU173" s="6"/>
      <c r="BV173" s="6"/>
      <c r="BW173" s="6"/>
      <c r="BX173" s="6"/>
      <c r="BY173" s="6"/>
      <c r="BZ173" s="6"/>
      <c r="CA173" s="6"/>
      <c r="CB173" s="6"/>
      <c r="CC173" s="6"/>
      <c r="CD173" s="6"/>
      <c r="CE173" s="6"/>
      <c r="CF173" s="6"/>
      <c r="CG173" s="6"/>
      <c r="CH173" s="6"/>
      <c r="CI173" s="6"/>
      <c r="CJ173" s="6"/>
      <c r="CK173" s="6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  <c r="CY173" s="4"/>
      <c r="CZ173" s="4"/>
      <c r="DA173" s="4"/>
      <c r="DB173" s="4"/>
      <c r="DC173" s="4"/>
      <c r="DD173" s="4"/>
      <c r="DE173" s="4"/>
      <c r="DF173" s="4"/>
      <c r="DG173" s="4"/>
      <c r="DH173" s="4"/>
      <c r="DI173" s="4"/>
      <c r="DJ173" s="4"/>
      <c r="DK173" s="4"/>
      <c r="DL173" s="4"/>
    </row>
    <row r="174" spans="1:116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5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6"/>
      <c r="BN174" s="6"/>
      <c r="BO174" s="6"/>
      <c r="BP174" s="6"/>
      <c r="BQ174" s="6"/>
      <c r="BR174" s="6"/>
      <c r="BS174" s="6"/>
      <c r="BT174" s="6"/>
      <c r="BU174" s="6"/>
      <c r="BV174" s="6"/>
      <c r="BW174" s="6"/>
      <c r="BX174" s="6"/>
      <c r="BY174" s="6"/>
      <c r="BZ174" s="6"/>
      <c r="CA174" s="6"/>
      <c r="CB174" s="6"/>
      <c r="CC174" s="6"/>
      <c r="CD174" s="6"/>
      <c r="CE174" s="6"/>
      <c r="CF174" s="6"/>
      <c r="CG174" s="6"/>
      <c r="CH174" s="6"/>
      <c r="CI174" s="6"/>
      <c r="CJ174" s="6"/>
      <c r="CK174" s="6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D174" s="4"/>
      <c r="DE174" s="4"/>
      <c r="DF174" s="4"/>
      <c r="DG174" s="4"/>
      <c r="DH174" s="4"/>
      <c r="DI174" s="4"/>
      <c r="DJ174" s="4"/>
      <c r="DK174" s="4"/>
      <c r="DL174" s="4"/>
    </row>
    <row r="175" spans="1:116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5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6"/>
      <c r="BN175" s="6"/>
      <c r="BO175" s="6"/>
      <c r="BP175" s="6"/>
      <c r="BQ175" s="6"/>
      <c r="BR175" s="6"/>
      <c r="BS175" s="6"/>
      <c r="BT175" s="6"/>
      <c r="BU175" s="6"/>
      <c r="BV175" s="6"/>
      <c r="BW175" s="6"/>
      <c r="BX175" s="6"/>
      <c r="BY175" s="6"/>
      <c r="BZ175" s="6"/>
      <c r="CA175" s="6"/>
      <c r="CB175" s="6"/>
      <c r="CC175" s="6"/>
      <c r="CD175" s="6"/>
      <c r="CE175" s="6"/>
      <c r="CF175" s="6"/>
      <c r="CG175" s="6"/>
      <c r="CH175" s="6"/>
      <c r="CI175" s="6"/>
      <c r="CJ175" s="6"/>
      <c r="CK175" s="6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  <c r="DA175" s="4"/>
      <c r="DB175" s="4"/>
      <c r="DC175" s="4"/>
      <c r="DD175" s="4"/>
      <c r="DE175" s="4"/>
      <c r="DF175" s="4"/>
      <c r="DG175" s="4"/>
      <c r="DH175" s="4"/>
      <c r="DI175" s="4"/>
      <c r="DJ175" s="4"/>
      <c r="DK175" s="4"/>
      <c r="DL175" s="4"/>
    </row>
    <row r="176" spans="1:116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5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6"/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6"/>
      <c r="BY176" s="6"/>
      <c r="BZ176" s="6"/>
      <c r="CA176" s="6"/>
      <c r="CB176" s="6"/>
      <c r="CC176" s="6"/>
      <c r="CD176" s="6"/>
      <c r="CE176" s="6"/>
      <c r="CF176" s="6"/>
      <c r="CG176" s="6"/>
      <c r="CH176" s="6"/>
      <c r="CI176" s="6"/>
      <c r="CJ176" s="6"/>
      <c r="CK176" s="6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4"/>
      <c r="DC176" s="4"/>
      <c r="DD176" s="4"/>
      <c r="DE176" s="4"/>
      <c r="DF176" s="4"/>
      <c r="DG176" s="4"/>
      <c r="DH176" s="4"/>
      <c r="DI176" s="4"/>
      <c r="DJ176" s="4"/>
      <c r="DK176" s="4"/>
      <c r="DL176" s="4"/>
    </row>
    <row r="177" spans="1:116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5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Y177" s="6"/>
      <c r="BZ177" s="6"/>
      <c r="CA177" s="6"/>
      <c r="CB177" s="6"/>
      <c r="CC177" s="6"/>
      <c r="CD177" s="6"/>
      <c r="CE177" s="6"/>
      <c r="CF177" s="6"/>
      <c r="CG177" s="6"/>
      <c r="CH177" s="6"/>
      <c r="CI177" s="6"/>
      <c r="CJ177" s="6"/>
      <c r="CK177" s="6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  <c r="DA177" s="4"/>
      <c r="DB177" s="4"/>
      <c r="DC177" s="4"/>
      <c r="DD177" s="4"/>
      <c r="DE177" s="4"/>
      <c r="DF177" s="4"/>
      <c r="DG177" s="4"/>
      <c r="DH177" s="4"/>
      <c r="DI177" s="4"/>
      <c r="DJ177" s="4"/>
      <c r="DK177" s="4"/>
      <c r="DL177" s="4"/>
    </row>
    <row r="178" spans="1:116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5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6"/>
      <c r="BN178" s="6"/>
      <c r="BO178" s="6"/>
      <c r="BP178" s="6"/>
      <c r="BQ178" s="6"/>
      <c r="BR178" s="6"/>
      <c r="BS178" s="6"/>
      <c r="BT178" s="6"/>
      <c r="BU178" s="6"/>
      <c r="BV178" s="6"/>
      <c r="BW178" s="6"/>
      <c r="BX178" s="6"/>
      <c r="BY178" s="6"/>
      <c r="BZ178" s="6"/>
      <c r="CA178" s="6"/>
      <c r="CB178" s="6"/>
      <c r="CC178" s="6"/>
      <c r="CD178" s="6"/>
      <c r="CE178" s="6"/>
      <c r="CF178" s="6"/>
      <c r="CG178" s="6"/>
      <c r="CH178" s="6"/>
      <c r="CI178" s="6"/>
      <c r="CJ178" s="6"/>
      <c r="CK178" s="6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  <c r="DC178" s="4"/>
      <c r="DD178" s="4"/>
      <c r="DE178" s="4"/>
      <c r="DF178" s="4"/>
      <c r="DG178" s="4"/>
      <c r="DH178" s="4"/>
      <c r="DI178" s="4"/>
      <c r="DJ178" s="4"/>
      <c r="DK178" s="4"/>
      <c r="DL178" s="4"/>
    </row>
    <row r="179" spans="1:116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5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6"/>
      <c r="BN179" s="6"/>
      <c r="BO179" s="6"/>
      <c r="BP179" s="6"/>
      <c r="BQ179" s="6"/>
      <c r="BR179" s="6"/>
      <c r="BS179" s="6"/>
      <c r="BT179" s="6"/>
      <c r="BU179" s="6"/>
      <c r="BV179" s="6"/>
      <c r="BW179" s="6"/>
      <c r="BX179" s="6"/>
      <c r="BY179" s="6"/>
      <c r="BZ179" s="6"/>
      <c r="CA179" s="6"/>
      <c r="CB179" s="6"/>
      <c r="CC179" s="6"/>
      <c r="CD179" s="6"/>
      <c r="CE179" s="6"/>
      <c r="CF179" s="6"/>
      <c r="CG179" s="6"/>
      <c r="CH179" s="6"/>
      <c r="CI179" s="6"/>
      <c r="CJ179" s="6"/>
      <c r="CK179" s="6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  <c r="DA179" s="4"/>
      <c r="DB179" s="4"/>
      <c r="DC179" s="4"/>
      <c r="DD179" s="4"/>
      <c r="DE179" s="4"/>
      <c r="DF179" s="4"/>
      <c r="DG179" s="4"/>
      <c r="DH179" s="4"/>
      <c r="DI179" s="4"/>
      <c r="DJ179" s="4"/>
      <c r="DK179" s="4"/>
      <c r="DL179" s="4"/>
    </row>
    <row r="180" spans="1:116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5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6"/>
      <c r="BN180" s="6"/>
      <c r="BO180" s="6"/>
      <c r="BP180" s="6"/>
      <c r="BQ180" s="6"/>
      <c r="BR180" s="6"/>
      <c r="BS180" s="6"/>
      <c r="BT180" s="6"/>
      <c r="BU180" s="6"/>
      <c r="BV180" s="6"/>
      <c r="BW180" s="6"/>
      <c r="BX180" s="6"/>
      <c r="BY180" s="6"/>
      <c r="BZ180" s="6"/>
      <c r="CA180" s="6"/>
      <c r="CB180" s="6"/>
      <c r="CC180" s="6"/>
      <c r="CD180" s="6"/>
      <c r="CE180" s="6"/>
      <c r="CF180" s="6"/>
      <c r="CG180" s="6"/>
      <c r="CH180" s="6"/>
      <c r="CI180" s="6"/>
      <c r="CJ180" s="6"/>
      <c r="CK180" s="6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  <c r="DB180" s="4"/>
      <c r="DC180" s="4"/>
      <c r="DD180" s="4"/>
      <c r="DE180" s="4"/>
      <c r="DF180" s="4"/>
      <c r="DG180" s="4"/>
      <c r="DH180" s="4"/>
      <c r="DI180" s="4"/>
      <c r="DJ180" s="4"/>
      <c r="DK180" s="4"/>
      <c r="DL180" s="4"/>
    </row>
    <row r="181" spans="1:116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5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6"/>
      <c r="BN181" s="6"/>
      <c r="BO181" s="6"/>
      <c r="BP181" s="6"/>
      <c r="BQ181" s="6"/>
      <c r="BR181" s="6"/>
      <c r="BS181" s="6"/>
      <c r="BT181" s="6"/>
      <c r="BU181" s="6"/>
      <c r="BV181" s="6"/>
      <c r="BW181" s="6"/>
      <c r="BX181" s="6"/>
      <c r="BY181" s="6"/>
      <c r="BZ181" s="6"/>
      <c r="CA181" s="6"/>
      <c r="CB181" s="6"/>
      <c r="CC181" s="6"/>
      <c r="CD181" s="6"/>
      <c r="CE181" s="6"/>
      <c r="CF181" s="6"/>
      <c r="CG181" s="6"/>
      <c r="CH181" s="6"/>
      <c r="CI181" s="6"/>
      <c r="CJ181" s="6"/>
      <c r="CK181" s="6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  <c r="DA181" s="4"/>
      <c r="DB181" s="4"/>
      <c r="DC181" s="4"/>
      <c r="DD181" s="4"/>
      <c r="DE181" s="4"/>
      <c r="DF181" s="4"/>
      <c r="DG181" s="4"/>
      <c r="DH181" s="4"/>
      <c r="DI181" s="4"/>
      <c r="DJ181" s="4"/>
      <c r="DK181" s="4"/>
      <c r="DL181" s="4"/>
    </row>
    <row r="182" spans="1:116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5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6"/>
      <c r="BN182" s="6"/>
      <c r="BO182" s="6"/>
      <c r="BP182" s="6"/>
      <c r="BQ182" s="6"/>
      <c r="BR182" s="6"/>
      <c r="BS182" s="6"/>
      <c r="BT182" s="6"/>
      <c r="BU182" s="6"/>
      <c r="BV182" s="6"/>
      <c r="BW182" s="6"/>
      <c r="BX182" s="6"/>
      <c r="BY182" s="6"/>
      <c r="BZ182" s="6"/>
      <c r="CA182" s="6"/>
      <c r="CB182" s="6"/>
      <c r="CC182" s="6"/>
      <c r="CD182" s="6"/>
      <c r="CE182" s="6"/>
      <c r="CF182" s="6"/>
      <c r="CG182" s="6"/>
      <c r="CH182" s="6"/>
      <c r="CI182" s="6"/>
      <c r="CJ182" s="6"/>
      <c r="CK182" s="6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  <c r="DB182" s="4"/>
      <c r="DC182" s="4"/>
      <c r="DD182" s="4"/>
      <c r="DE182" s="4"/>
      <c r="DF182" s="4"/>
      <c r="DG182" s="4"/>
      <c r="DH182" s="4"/>
      <c r="DI182" s="4"/>
      <c r="DJ182" s="4"/>
      <c r="DK182" s="4"/>
      <c r="DL182" s="4"/>
    </row>
    <row r="183" spans="1:116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5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6"/>
      <c r="BN183" s="6"/>
      <c r="BO183" s="6"/>
      <c r="BP183" s="6"/>
      <c r="BQ183" s="6"/>
      <c r="BR183" s="6"/>
      <c r="BS183" s="6"/>
      <c r="BT183" s="6"/>
      <c r="BU183" s="6"/>
      <c r="BV183" s="6"/>
      <c r="BW183" s="6"/>
      <c r="BX183" s="6"/>
      <c r="BY183" s="6"/>
      <c r="BZ183" s="6"/>
      <c r="CA183" s="6"/>
      <c r="CB183" s="6"/>
      <c r="CC183" s="6"/>
      <c r="CD183" s="6"/>
      <c r="CE183" s="6"/>
      <c r="CF183" s="6"/>
      <c r="CG183" s="6"/>
      <c r="CH183" s="6"/>
      <c r="CI183" s="6"/>
      <c r="CJ183" s="6"/>
      <c r="CK183" s="6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4"/>
      <c r="CZ183" s="4"/>
      <c r="DA183" s="4"/>
      <c r="DB183" s="4"/>
      <c r="DC183" s="4"/>
      <c r="DD183" s="4"/>
      <c r="DE183" s="4"/>
      <c r="DF183" s="4"/>
      <c r="DG183" s="4"/>
      <c r="DH183" s="4"/>
      <c r="DI183" s="4"/>
      <c r="DJ183" s="4"/>
      <c r="DK183" s="4"/>
      <c r="DL183" s="4"/>
    </row>
    <row r="184" spans="1:116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5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6"/>
      <c r="BN184" s="6"/>
      <c r="BO184" s="6"/>
      <c r="BP184" s="6"/>
      <c r="BQ184" s="6"/>
      <c r="BR184" s="6"/>
      <c r="BS184" s="6"/>
      <c r="BT184" s="6"/>
      <c r="BU184" s="6"/>
      <c r="BV184" s="6"/>
      <c r="BW184" s="6"/>
      <c r="BX184" s="6"/>
      <c r="BY184" s="6"/>
      <c r="BZ184" s="6"/>
      <c r="CA184" s="6"/>
      <c r="CB184" s="6"/>
      <c r="CC184" s="6"/>
      <c r="CD184" s="6"/>
      <c r="CE184" s="6"/>
      <c r="CF184" s="6"/>
      <c r="CG184" s="6"/>
      <c r="CH184" s="6"/>
      <c r="CI184" s="6"/>
      <c r="CJ184" s="6"/>
      <c r="CK184" s="6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4"/>
      <c r="DE184" s="4"/>
      <c r="DF184" s="4"/>
      <c r="DG184" s="4"/>
      <c r="DH184" s="4"/>
      <c r="DI184" s="4"/>
      <c r="DJ184" s="4"/>
      <c r="DK184" s="4"/>
      <c r="DL184" s="4"/>
    </row>
    <row r="185" spans="1:116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5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6"/>
      <c r="BN185" s="6"/>
      <c r="BO185" s="6"/>
      <c r="BP185" s="6"/>
      <c r="BQ185" s="6"/>
      <c r="BR185" s="6"/>
      <c r="BS185" s="6"/>
      <c r="BT185" s="6"/>
      <c r="BU185" s="6"/>
      <c r="BV185" s="6"/>
      <c r="BW185" s="6"/>
      <c r="BX185" s="6"/>
      <c r="BY185" s="6"/>
      <c r="BZ185" s="6"/>
      <c r="CA185" s="6"/>
      <c r="CB185" s="6"/>
      <c r="CC185" s="6"/>
      <c r="CD185" s="6"/>
      <c r="CE185" s="6"/>
      <c r="CF185" s="6"/>
      <c r="CG185" s="6"/>
      <c r="CH185" s="6"/>
      <c r="CI185" s="6"/>
      <c r="CJ185" s="6"/>
      <c r="CK185" s="6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  <c r="DA185" s="4"/>
      <c r="DB185" s="4"/>
      <c r="DC185" s="4"/>
      <c r="DD185" s="4"/>
      <c r="DE185" s="4"/>
      <c r="DF185" s="4"/>
      <c r="DG185" s="4"/>
      <c r="DH185" s="4"/>
      <c r="DI185" s="4"/>
      <c r="DJ185" s="4"/>
      <c r="DK185" s="4"/>
      <c r="DL185" s="4"/>
    </row>
    <row r="186" spans="1:116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5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6"/>
      <c r="BN186" s="6"/>
      <c r="BO186" s="6"/>
      <c r="BP186" s="6"/>
      <c r="BQ186" s="6"/>
      <c r="BR186" s="6"/>
      <c r="BS186" s="6"/>
      <c r="BT186" s="6"/>
      <c r="BU186" s="6"/>
      <c r="BV186" s="6"/>
      <c r="BW186" s="6"/>
      <c r="BX186" s="6"/>
      <c r="BY186" s="6"/>
      <c r="BZ186" s="6"/>
      <c r="CA186" s="6"/>
      <c r="CB186" s="6"/>
      <c r="CC186" s="6"/>
      <c r="CD186" s="6"/>
      <c r="CE186" s="6"/>
      <c r="CF186" s="6"/>
      <c r="CG186" s="6"/>
      <c r="CH186" s="6"/>
      <c r="CI186" s="6"/>
      <c r="CJ186" s="6"/>
      <c r="CK186" s="6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  <c r="DA186" s="4"/>
      <c r="DB186" s="4"/>
      <c r="DC186" s="4"/>
      <c r="DD186" s="4"/>
      <c r="DE186" s="4"/>
      <c r="DF186" s="4"/>
      <c r="DG186" s="4"/>
      <c r="DH186" s="4"/>
      <c r="DI186" s="4"/>
      <c r="DJ186" s="4"/>
      <c r="DK186" s="4"/>
      <c r="DL186" s="4"/>
    </row>
    <row r="187" spans="1:116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5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6"/>
      <c r="BN187" s="6"/>
      <c r="BO187" s="6"/>
      <c r="BP187" s="6"/>
      <c r="BQ187" s="6"/>
      <c r="BR187" s="6"/>
      <c r="BS187" s="6"/>
      <c r="BT187" s="6"/>
      <c r="BU187" s="6"/>
      <c r="BV187" s="6"/>
      <c r="BW187" s="6"/>
      <c r="BX187" s="6"/>
      <c r="BY187" s="6"/>
      <c r="BZ187" s="6"/>
      <c r="CA187" s="6"/>
      <c r="CB187" s="6"/>
      <c r="CC187" s="6"/>
      <c r="CD187" s="6"/>
      <c r="CE187" s="6"/>
      <c r="CF187" s="6"/>
      <c r="CG187" s="6"/>
      <c r="CH187" s="6"/>
      <c r="CI187" s="6"/>
      <c r="CJ187" s="6"/>
      <c r="CK187" s="6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  <c r="CZ187" s="4"/>
      <c r="DA187" s="4"/>
      <c r="DB187" s="4"/>
      <c r="DC187" s="4"/>
      <c r="DD187" s="4"/>
      <c r="DE187" s="4"/>
      <c r="DF187" s="4"/>
      <c r="DG187" s="4"/>
      <c r="DH187" s="4"/>
      <c r="DI187" s="4"/>
      <c r="DJ187" s="4"/>
      <c r="DK187" s="4"/>
      <c r="DL187" s="4"/>
    </row>
    <row r="188" spans="1:116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5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6"/>
      <c r="BN188" s="6"/>
      <c r="BO188" s="6"/>
      <c r="BP188" s="6"/>
      <c r="BQ188" s="6"/>
      <c r="BR188" s="6"/>
      <c r="BS188" s="6"/>
      <c r="BT188" s="6"/>
      <c r="BU188" s="6"/>
      <c r="BV188" s="6"/>
      <c r="BW188" s="6"/>
      <c r="BX188" s="6"/>
      <c r="BY188" s="6"/>
      <c r="BZ188" s="6"/>
      <c r="CA188" s="6"/>
      <c r="CB188" s="6"/>
      <c r="CC188" s="6"/>
      <c r="CD188" s="6"/>
      <c r="CE188" s="6"/>
      <c r="CF188" s="6"/>
      <c r="CG188" s="6"/>
      <c r="CH188" s="6"/>
      <c r="CI188" s="6"/>
      <c r="CJ188" s="6"/>
      <c r="CK188" s="6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  <c r="DC188" s="4"/>
      <c r="DD188" s="4"/>
      <c r="DE188" s="4"/>
      <c r="DF188" s="4"/>
      <c r="DG188" s="4"/>
      <c r="DH188" s="4"/>
      <c r="DI188" s="4"/>
      <c r="DJ188" s="4"/>
      <c r="DK188" s="4"/>
      <c r="DL188" s="4"/>
    </row>
    <row r="189" spans="1:116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5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6"/>
      <c r="BN189" s="6"/>
      <c r="BO189" s="6"/>
      <c r="BP189" s="6"/>
      <c r="BQ189" s="6"/>
      <c r="BR189" s="6"/>
      <c r="BS189" s="6"/>
      <c r="BT189" s="6"/>
      <c r="BU189" s="6"/>
      <c r="BV189" s="6"/>
      <c r="BW189" s="6"/>
      <c r="BX189" s="6"/>
      <c r="BY189" s="6"/>
      <c r="BZ189" s="6"/>
      <c r="CA189" s="6"/>
      <c r="CB189" s="6"/>
      <c r="CC189" s="6"/>
      <c r="CD189" s="6"/>
      <c r="CE189" s="6"/>
      <c r="CF189" s="6"/>
      <c r="CG189" s="6"/>
      <c r="CH189" s="6"/>
      <c r="CI189" s="6"/>
      <c r="CJ189" s="6"/>
      <c r="CK189" s="6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  <c r="CY189" s="4"/>
      <c r="CZ189" s="4"/>
      <c r="DA189" s="4"/>
      <c r="DB189" s="4"/>
      <c r="DC189" s="4"/>
      <c r="DD189" s="4"/>
      <c r="DE189" s="4"/>
      <c r="DF189" s="4"/>
      <c r="DG189" s="4"/>
      <c r="DH189" s="4"/>
      <c r="DI189" s="4"/>
      <c r="DJ189" s="4"/>
      <c r="DK189" s="4"/>
      <c r="DL189" s="4"/>
    </row>
    <row r="190" spans="1:116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5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6"/>
      <c r="BN190" s="6"/>
      <c r="BO190" s="6"/>
      <c r="BP190" s="6"/>
      <c r="BQ190" s="6"/>
      <c r="BR190" s="6"/>
      <c r="BS190" s="6"/>
      <c r="BT190" s="6"/>
      <c r="BU190" s="6"/>
      <c r="BV190" s="6"/>
      <c r="BW190" s="6"/>
      <c r="BX190" s="6"/>
      <c r="BY190" s="6"/>
      <c r="BZ190" s="6"/>
      <c r="CA190" s="6"/>
      <c r="CB190" s="6"/>
      <c r="CC190" s="6"/>
      <c r="CD190" s="6"/>
      <c r="CE190" s="6"/>
      <c r="CF190" s="6"/>
      <c r="CG190" s="6"/>
      <c r="CH190" s="6"/>
      <c r="CI190" s="6"/>
      <c r="CJ190" s="6"/>
      <c r="CK190" s="6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  <c r="DA190" s="4"/>
      <c r="DB190" s="4"/>
      <c r="DC190" s="4"/>
      <c r="DD190" s="4"/>
      <c r="DE190" s="4"/>
      <c r="DF190" s="4"/>
      <c r="DG190" s="4"/>
      <c r="DH190" s="4"/>
      <c r="DI190" s="4"/>
      <c r="DJ190" s="4"/>
      <c r="DK190" s="4"/>
      <c r="DL190" s="4"/>
    </row>
    <row r="191" spans="1:116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5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6"/>
      <c r="BN191" s="6"/>
      <c r="BO191" s="6"/>
      <c r="BP191" s="6"/>
      <c r="BQ191" s="6"/>
      <c r="BR191" s="6"/>
      <c r="BS191" s="6"/>
      <c r="BT191" s="6"/>
      <c r="BU191" s="6"/>
      <c r="BV191" s="6"/>
      <c r="BW191" s="6"/>
      <c r="BX191" s="6"/>
      <c r="BY191" s="6"/>
      <c r="BZ191" s="6"/>
      <c r="CA191" s="6"/>
      <c r="CB191" s="6"/>
      <c r="CC191" s="6"/>
      <c r="CD191" s="6"/>
      <c r="CE191" s="6"/>
      <c r="CF191" s="6"/>
      <c r="CG191" s="6"/>
      <c r="CH191" s="6"/>
      <c r="CI191" s="6"/>
      <c r="CJ191" s="6"/>
      <c r="CK191" s="6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  <c r="DA191" s="4"/>
      <c r="DB191" s="4"/>
      <c r="DC191" s="4"/>
      <c r="DD191" s="4"/>
      <c r="DE191" s="4"/>
      <c r="DF191" s="4"/>
      <c r="DG191" s="4"/>
      <c r="DH191" s="4"/>
      <c r="DI191" s="4"/>
      <c r="DJ191" s="4"/>
      <c r="DK191" s="4"/>
      <c r="DL191" s="4"/>
    </row>
    <row r="192" spans="1:116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5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6"/>
      <c r="BN192" s="6"/>
      <c r="BO192" s="6"/>
      <c r="BP192" s="6"/>
      <c r="BQ192" s="6"/>
      <c r="BR192" s="6"/>
      <c r="BS192" s="6"/>
      <c r="BT192" s="6"/>
      <c r="BU192" s="6"/>
      <c r="BV192" s="6"/>
      <c r="BW192" s="6"/>
      <c r="BX192" s="6"/>
      <c r="BY192" s="6"/>
      <c r="BZ192" s="6"/>
      <c r="CA192" s="6"/>
      <c r="CB192" s="6"/>
      <c r="CC192" s="6"/>
      <c r="CD192" s="6"/>
      <c r="CE192" s="6"/>
      <c r="CF192" s="6"/>
      <c r="CG192" s="6"/>
      <c r="CH192" s="6"/>
      <c r="CI192" s="6"/>
      <c r="CJ192" s="6"/>
      <c r="CK192" s="6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  <c r="DC192" s="4"/>
      <c r="DD192" s="4"/>
      <c r="DE192" s="4"/>
      <c r="DF192" s="4"/>
      <c r="DG192" s="4"/>
      <c r="DH192" s="4"/>
      <c r="DI192" s="4"/>
      <c r="DJ192" s="4"/>
      <c r="DK192" s="4"/>
      <c r="DL192" s="4"/>
    </row>
    <row r="193" spans="1:116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5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6"/>
      <c r="BN193" s="6"/>
      <c r="BO193" s="6"/>
      <c r="BP193" s="6"/>
      <c r="BQ193" s="6"/>
      <c r="BR193" s="6"/>
      <c r="BS193" s="6"/>
      <c r="BT193" s="6"/>
      <c r="BU193" s="6"/>
      <c r="BV193" s="6"/>
      <c r="BW193" s="6"/>
      <c r="BX193" s="6"/>
      <c r="BY193" s="6"/>
      <c r="BZ193" s="6"/>
      <c r="CA193" s="6"/>
      <c r="CB193" s="6"/>
      <c r="CC193" s="6"/>
      <c r="CD193" s="6"/>
      <c r="CE193" s="6"/>
      <c r="CF193" s="6"/>
      <c r="CG193" s="6"/>
      <c r="CH193" s="6"/>
      <c r="CI193" s="6"/>
      <c r="CJ193" s="6"/>
      <c r="CK193" s="6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  <c r="CZ193" s="4"/>
      <c r="DA193" s="4"/>
      <c r="DB193" s="4"/>
      <c r="DC193" s="4"/>
      <c r="DD193" s="4"/>
      <c r="DE193" s="4"/>
      <c r="DF193" s="4"/>
      <c r="DG193" s="4"/>
      <c r="DH193" s="4"/>
      <c r="DI193" s="4"/>
      <c r="DJ193" s="4"/>
      <c r="DK193" s="4"/>
      <c r="DL193" s="4"/>
    </row>
    <row r="194" spans="1:116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5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6"/>
      <c r="BN194" s="6"/>
      <c r="BO194" s="6"/>
      <c r="BP194" s="6"/>
      <c r="BQ194" s="6"/>
      <c r="BR194" s="6"/>
      <c r="BS194" s="6"/>
      <c r="BT194" s="6"/>
      <c r="BU194" s="6"/>
      <c r="BV194" s="6"/>
      <c r="BW194" s="6"/>
      <c r="BX194" s="6"/>
      <c r="BY194" s="6"/>
      <c r="BZ194" s="6"/>
      <c r="CA194" s="6"/>
      <c r="CB194" s="6"/>
      <c r="CC194" s="6"/>
      <c r="CD194" s="6"/>
      <c r="CE194" s="6"/>
      <c r="CF194" s="6"/>
      <c r="CG194" s="6"/>
      <c r="CH194" s="6"/>
      <c r="CI194" s="6"/>
      <c r="CJ194" s="6"/>
      <c r="CK194" s="6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4"/>
      <c r="DB194" s="4"/>
      <c r="DC194" s="4"/>
      <c r="DD194" s="4"/>
      <c r="DE194" s="4"/>
      <c r="DF194" s="4"/>
      <c r="DG194" s="4"/>
      <c r="DH194" s="4"/>
      <c r="DI194" s="4"/>
      <c r="DJ194" s="4"/>
      <c r="DK194" s="4"/>
      <c r="DL194" s="4"/>
    </row>
    <row r="195" spans="1:116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5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6"/>
      <c r="BN195" s="6"/>
      <c r="BO195" s="6"/>
      <c r="BP195" s="6"/>
      <c r="BQ195" s="6"/>
      <c r="BR195" s="6"/>
      <c r="BS195" s="6"/>
      <c r="BT195" s="6"/>
      <c r="BU195" s="6"/>
      <c r="BV195" s="6"/>
      <c r="BW195" s="6"/>
      <c r="BX195" s="6"/>
      <c r="BY195" s="6"/>
      <c r="BZ195" s="6"/>
      <c r="CA195" s="6"/>
      <c r="CB195" s="6"/>
      <c r="CC195" s="6"/>
      <c r="CD195" s="6"/>
      <c r="CE195" s="6"/>
      <c r="CF195" s="6"/>
      <c r="CG195" s="6"/>
      <c r="CH195" s="6"/>
      <c r="CI195" s="6"/>
      <c r="CJ195" s="6"/>
      <c r="CK195" s="6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  <c r="DJ195" s="4"/>
      <c r="DK195" s="4"/>
      <c r="DL195" s="4"/>
    </row>
    <row r="196" spans="1:116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5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6"/>
      <c r="BN196" s="6"/>
      <c r="BO196" s="6"/>
      <c r="BP196" s="6"/>
      <c r="BQ196" s="6"/>
      <c r="BR196" s="6"/>
      <c r="BS196" s="6"/>
      <c r="BT196" s="6"/>
      <c r="BU196" s="6"/>
      <c r="BV196" s="6"/>
      <c r="BW196" s="6"/>
      <c r="BX196" s="6"/>
      <c r="BY196" s="6"/>
      <c r="BZ196" s="6"/>
      <c r="CA196" s="6"/>
      <c r="CB196" s="6"/>
      <c r="CC196" s="6"/>
      <c r="CD196" s="6"/>
      <c r="CE196" s="6"/>
      <c r="CF196" s="6"/>
      <c r="CG196" s="6"/>
      <c r="CH196" s="6"/>
      <c r="CI196" s="6"/>
      <c r="CJ196" s="6"/>
      <c r="CK196" s="6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  <c r="DD196" s="4"/>
      <c r="DE196" s="4"/>
      <c r="DF196" s="4"/>
      <c r="DG196" s="4"/>
      <c r="DH196" s="4"/>
      <c r="DI196" s="4"/>
      <c r="DJ196" s="4"/>
      <c r="DK196" s="4"/>
      <c r="DL196" s="4"/>
    </row>
    <row r="197" spans="1:116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5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6"/>
      <c r="BN197" s="6"/>
      <c r="BO197" s="6"/>
      <c r="BP197" s="6"/>
      <c r="BQ197" s="6"/>
      <c r="BR197" s="6"/>
      <c r="BS197" s="6"/>
      <c r="BT197" s="6"/>
      <c r="BU197" s="6"/>
      <c r="BV197" s="6"/>
      <c r="BW197" s="6"/>
      <c r="BX197" s="6"/>
      <c r="BY197" s="6"/>
      <c r="BZ197" s="6"/>
      <c r="CA197" s="6"/>
      <c r="CB197" s="6"/>
      <c r="CC197" s="6"/>
      <c r="CD197" s="6"/>
      <c r="CE197" s="6"/>
      <c r="CF197" s="6"/>
      <c r="CG197" s="6"/>
      <c r="CH197" s="6"/>
      <c r="CI197" s="6"/>
      <c r="CJ197" s="6"/>
      <c r="CK197" s="6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  <c r="DA197" s="4"/>
      <c r="DB197" s="4"/>
      <c r="DC197" s="4"/>
      <c r="DD197" s="4"/>
      <c r="DE197" s="4"/>
      <c r="DF197" s="4"/>
      <c r="DG197" s="4"/>
      <c r="DH197" s="4"/>
      <c r="DI197" s="4"/>
      <c r="DJ197" s="4"/>
      <c r="DK197" s="4"/>
      <c r="DL197" s="4"/>
    </row>
    <row r="198" spans="1:116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5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6"/>
      <c r="BN198" s="6"/>
      <c r="BO198" s="6"/>
      <c r="BP198" s="6"/>
      <c r="BQ198" s="6"/>
      <c r="BR198" s="6"/>
      <c r="BS198" s="6"/>
      <c r="BT198" s="6"/>
      <c r="BU198" s="6"/>
      <c r="BV198" s="6"/>
      <c r="BW198" s="6"/>
      <c r="BX198" s="6"/>
      <c r="BY198" s="6"/>
      <c r="BZ198" s="6"/>
      <c r="CA198" s="6"/>
      <c r="CB198" s="6"/>
      <c r="CC198" s="6"/>
      <c r="CD198" s="6"/>
      <c r="CE198" s="6"/>
      <c r="CF198" s="6"/>
      <c r="CG198" s="6"/>
      <c r="CH198" s="6"/>
      <c r="CI198" s="6"/>
      <c r="CJ198" s="6"/>
      <c r="CK198" s="6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  <c r="DA198" s="4"/>
      <c r="DB198" s="4"/>
      <c r="DC198" s="4"/>
      <c r="DD198" s="4"/>
      <c r="DE198" s="4"/>
      <c r="DF198" s="4"/>
      <c r="DG198" s="4"/>
      <c r="DH198" s="4"/>
      <c r="DI198" s="4"/>
      <c r="DJ198" s="4"/>
      <c r="DK198" s="4"/>
      <c r="DL198" s="4"/>
    </row>
    <row r="199" spans="1:116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5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6"/>
      <c r="BN199" s="6"/>
      <c r="BO199" s="6"/>
      <c r="BP199" s="6"/>
      <c r="BQ199" s="6"/>
      <c r="BR199" s="6"/>
      <c r="BS199" s="6"/>
      <c r="BT199" s="6"/>
      <c r="BU199" s="6"/>
      <c r="BV199" s="6"/>
      <c r="BW199" s="6"/>
      <c r="BX199" s="6"/>
      <c r="BY199" s="6"/>
      <c r="BZ199" s="6"/>
      <c r="CA199" s="6"/>
      <c r="CB199" s="6"/>
      <c r="CC199" s="6"/>
      <c r="CD199" s="6"/>
      <c r="CE199" s="6"/>
      <c r="CF199" s="6"/>
      <c r="CG199" s="6"/>
      <c r="CH199" s="6"/>
      <c r="CI199" s="6"/>
      <c r="CJ199" s="6"/>
      <c r="CK199" s="6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CZ199" s="4"/>
      <c r="DA199" s="4"/>
      <c r="DB199" s="4"/>
      <c r="DC199" s="4"/>
      <c r="DD199" s="4"/>
      <c r="DE199" s="4"/>
      <c r="DF199" s="4"/>
      <c r="DG199" s="4"/>
      <c r="DH199" s="4"/>
      <c r="DI199" s="4"/>
      <c r="DJ199" s="4"/>
      <c r="DK199" s="4"/>
      <c r="DL199" s="4"/>
    </row>
    <row r="200" spans="1:116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5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6"/>
      <c r="BN200" s="6"/>
      <c r="BO200" s="6"/>
      <c r="BP200" s="6"/>
      <c r="BQ200" s="6"/>
      <c r="BR200" s="6"/>
      <c r="BS200" s="6"/>
      <c r="BT200" s="6"/>
      <c r="BU200" s="6"/>
      <c r="BV200" s="6"/>
      <c r="BW200" s="6"/>
      <c r="BX200" s="6"/>
      <c r="BY200" s="6"/>
      <c r="BZ200" s="6"/>
      <c r="CA200" s="6"/>
      <c r="CB200" s="6"/>
      <c r="CC200" s="6"/>
      <c r="CD200" s="6"/>
      <c r="CE200" s="6"/>
      <c r="CF200" s="6"/>
      <c r="CG200" s="6"/>
      <c r="CH200" s="6"/>
      <c r="CI200" s="6"/>
      <c r="CJ200" s="6"/>
      <c r="CK200" s="6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  <c r="DA200" s="4"/>
      <c r="DB200" s="4"/>
      <c r="DC200" s="4"/>
      <c r="DD200" s="4"/>
      <c r="DE200" s="4"/>
      <c r="DF200" s="4"/>
      <c r="DG200" s="4"/>
      <c r="DH200" s="4"/>
      <c r="DI200" s="4"/>
      <c r="DJ200" s="4"/>
      <c r="DK200" s="4"/>
      <c r="DL200" s="4"/>
    </row>
    <row r="201" spans="1:116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5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6"/>
      <c r="BN201" s="6"/>
      <c r="BO201" s="6"/>
      <c r="BP201" s="6"/>
      <c r="BQ201" s="6"/>
      <c r="BR201" s="6"/>
      <c r="BS201" s="6"/>
      <c r="BT201" s="6"/>
      <c r="BU201" s="6"/>
      <c r="BV201" s="6"/>
      <c r="BW201" s="6"/>
      <c r="BX201" s="6"/>
      <c r="BY201" s="6"/>
      <c r="BZ201" s="6"/>
      <c r="CA201" s="6"/>
      <c r="CB201" s="6"/>
      <c r="CC201" s="6"/>
      <c r="CD201" s="6"/>
      <c r="CE201" s="6"/>
      <c r="CF201" s="6"/>
      <c r="CG201" s="6"/>
      <c r="CH201" s="6"/>
      <c r="CI201" s="6"/>
      <c r="CJ201" s="6"/>
      <c r="CK201" s="6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  <c r="CY201" s="4"/>
      <c r="CZ201" s="4"/>
      <c r="DA201" s="4"/>
      <c r="DB201" s="4"/>
      <c r="DC201" s="4"/>
      <c r="DD201" s="4"/>
      <c r="DE201" s="4"/>
      <c r="DF201" s="4"/>
      <c r="DG201" s="4"/>
      <c r="DH201" s="4"/>
      <c r="DI201" s="4"/>
      <c r="DJ201" s="4"/>
      <c r="DK201" s="4"/>
      <c r="DL201" s="4"/>
    </row>
    <row r="202" spans="1:116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5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6"/>
      <c r="BN202" s="6"/>
      <c r="BO202" s="6"/>
      <c r="BP202" s="6"/>
      <c r="BQ202" s="6"/>
      <c r="BR202" s="6"/>
      <c r="BS202" s="6"/>
      <c r="BT202" s="6"/>
      <c r="BU202" s="6"/>
      <c r="BV202" s="6"/>
      <c r="BW202" s="6"/>
      <c r="BX202" s="6"/>
      <c r="BY202" s="6"/>
      <c r="BZ202" s="6"/>
      <c r="CA202" s="6"/>
      <c r="CB202" s="6"/>
      <c r="CC202" s="6"/>
      <c r="CD202" s="6"/>
      <c r="CE202" s="6"/>
      <c r="CF202" s="6"/>
      <c r="CG202" s="6"/>
      <c r="CH202" s="6"/>
      <c r="CI202" s="6"/>
      <c r="CJ202" s="6"/>
      <c r="CK202" s="6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  <c r="DA202" s="4"/>
      <c r="DB202" s="4"/>
      <c r="DC202" s="4"/>
      <c r="DD202" s="4"/>
      <c r="DE202" s="4"/>
      <c r="DF202" s="4"/>
      <c r="DG202" s="4"/>
      <c r="DH202" s="4"/>
      <c r="DI202" s="4"/>
      <c r="DJ202" s="4"/>
      <c r="DK202" s="4"/>
      <c r="DL202" s="4"/>
    </row>
    <row r="203" spans="1:116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5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6"/>
      <c r="BN203" s="6"/>
      <c r="BO203" s="6"/>
      <c r="BP203" s="6"/>
      <c r="BQ203" s="6"/>
      <c r="BR203" s="6"/>
      <c r="BS203" s="6"/>
      <c r="BT203" s="6"/>
      <c r="BU203" s="6"/>
      <c r="BV203" s="6"/>
      <c r="BW203" s="6"/>
      <c r="BX203" s="6"/>
      <c r="BY203" s="6"/>
      <c r="BZ203" s="6"/>
      <c r="CA203" s="6"/>
      <c r="CB203" s="6"/>
      <c r="CC203" s="6"/>
      <c r="CD203" s="6"/>
      <c r="CE203" s="6"/>
      <c r="CF203" s="6"/>
      <c r="CG203" s="6"/>
      <c r="CH203" s="6"/>
      <c r="CI203" s="6"/>
      <c r="CJ203" s="6"/>
      <c r="CK203" s="6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  <c r="CY203" s="4"/>
      <c r="CZ203" s="4"/>
      <c r="DA203" s="4"/>
      <c r="DB203" s="4"/>
      <c r="DC203" s="4"/>
      <c r="DD203" s="4"/>
      <c r="DE203" s="4"/>
      <c r="DF203" s="4"/>
      <c r="DG203" s="4"/>
      <c r="DH203" s="4"/>
      <c r="DI203" s="4"/>
      <c r="DJ203" s="4"/>
      <c r="DK203" s="4"/>
      <c r="DL203" s="4"/>
    </row>
    <row r="204" spans="1:116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5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6"/>
      <c r="BN204" s="6"/>
      <c r="BO204" s="6"/>
      <c r="BP204" s="6"/>
      <c r="BQ204" s="6"/>
      <c r="BR204" s="6"/>
      <c r="BS204" s="6"/>
      <c r="BT204" s="6"/>
      <c r="BU204" s="6"/>
      <c r="BV204" s="6"/>
      <c r="BW204" s="6"/>
      <c r="BX204" s="6"/>
      <c r="BY204" s="6"/>
      <c r="BZ204" s="6"/>
      <c r="CA204" s="6"/>
      <c r="CB204" s="6"/>
      <c r="CC204" s="6"/>
      <c r="CD204" s="6"/>
      <c r="CE204" s="6"/>
      <c r="CF204" s="6"/>
      <c r="CG204" s="6"/>
      <c r="CH204" s="6"/>
      <c r="CI204" s="6"/>
      <c r="CJ204" s="6"/>
      <c r="CK204" s="6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  <c r="DA204" s="4"/>
      <c r="DB204" s="4"/>
      <c r="DC204" s="4"/>
      <c r="DD204" s="4"/>
      <c r="DE204" s="4"/>
      <c r="DF204" s="4"/>
      <c r="DG204" s="4"/>
      <c r="DH204" s="4"/>
      <c r="DI204" s="4"/>
      <c r="DJ204" s="4"/>
      <c r="DK204" s="4"/>
      <c r="DL204" s="4"/>
    </row>
    <row r="205" spans="1:116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5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6"/>
      <c r="BN205" s="6"/>
      <c r="BO205" s="6"/>
      <c r="BP205" s="6"/>
      <c r="BQ205" s="6"/>
      <c r="BR205" s="6"/>
      <c r="BS205" s="6"/>
      <c r="BT205" s="6"/>
      <c r="BU205" s="6"/>
      <c r="BV205" s="6"/>
      <c r="BW205" s="6"/>
      <c r="BX205" s="6"/>
      <c r="BY205" s="6"/>
      <c r="BZ205" s="6"/>
      <c r="CA205" s="6"/>
      <c r="CB205" s="6"/>
      <c r="CC205" s="6"/>
      <c r="CD205" s="6"/>
      <c r="CE205" s="6"/>
      <c r="CF205" s="6"/>
      <c r="CG205" s="6"/>
      <c r="CH205" s="6"/>
      <c r="CI205" s="6"/>
      <c r="CJ205" s="6"/>
      <c r="CK205" s="6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  <c r="DJ205" s="4"/>
      <c r="DK205" s="4"/>
      <c r="DL205" s="4"/>
    </row>
    <row r="206" spans="1:116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5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6"/>
      <c r="BN206" s="6"/>
      <c r="BO206" s="6"/>
      <c r="BP206" s="6"/>
      <c r="BQ206" s="6"/>
      <c r="BR206" s="6"/>
      <c r="BS206" s="6"/>
      <c r="BT206" s="6"/>
      <c r="BU206" s="6"/>
      <c r="BV206" s="6"/>
      <c r="BW206" s="6"/>
      <c r="BX206" s="6"/>
      <c r="BY206" s="6"/>
      <c r="BZ206" s="6"/>
      <c r="CA206" s="6"/>
      <c r="CB206" s="6"/>
      <c r="CC206" s="6"/>
      <c r="CD206" s="6"/>
      <c r="CE206" s="6"/>
      <c r="CF206" s="6"/>
      <c r="CG206" s="6"/>
      <c r="CH206" s="6"/>
      <c r="CI206" s="6"/>
      <c r="CJ206" s="6"/>
      <c r="CK206" s="6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/>
      <c r="CZ206" s="4"/>
      <c r="DA206" s="4"/>
      <c r="DB206" s="4"/>
      <c r="DC206" s="4"/>
      <c r="DD206" s="4"/>
      <c r="DE206" s="4"/>
      <c r="DF206" s="4"/>
      <c r="DG206" s="4"/>
      <c r="DH206" s="4"/>
      <c r="DI206" s="4"/>
      <c r="DJ206" s="4"/>
      <c r="DK206" s="4"/>
      <c r="DL206" s="4"/>
    </row>
    <row r="207" spans="1:116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5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6"/>
      <c r="BN207" s="6"/>
      <c r="BO207" s="6"/>
      <c r="BP207" s="6"/>
      <c r="BQ207" s="6"/>
      <c r="BR207" s="6"/>
      <c r="BS207" s="6"/>
      <c r="BT207" s="6"/>
      <c r="BU207" s="6"/>
      <c r="BV207" s="6"/>
      <c r="BW207" s="6"/>
      <c r="BX207" s="6"/>
      <c r="BY207" s="6"/>
      <c r="BZ207" s="6"/>
      <c r="CA207" s="6"/>
      <c r="CB207" s="6"/>
      <c r="CC207" s="6"/>
      <c r="CD207" s="6"/>
      <c r="CE207" s="6"/>
      <c r="CF207" s="6"/>
      <c r="CG207" s="6"/>
      <c r="CH207" s="6"/>
      <c r="CI207" s="6"/>
      <c r="CJ207" s="6"/>
      <c r="CK207" s="6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  <c r="CY207" s="4"/>
      <c r="CZ207" s="4"/>
      <c r="DA207" s="4"/>
      <c r="DB207" s="4"/>
      <c r="DC207" s="4"/>
      <c r="DD207" s="4"/>
      <c r="DE207" s="4"/>
      <c r="DF207" s="4"/>
      <c r="DG207" s="4"/>
      <c r="DH207" s="4"/>
      <c r="DI207" s="4"/>
      <c r="DJ207" s="4"/>
      <c r="DK207" s="4"/>
      <c r="DL207" s="4"/>
    </row>
    <row r="208" spans="1:116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5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6"/>
      <c r="BN208" s="6"/>
      <c r="BO208" s="6"/>
      <c r="BP208" s="6"/>
      <c r="BQ208" s="6"/>
      <c r="BR208" s="6"/>
      <c r="BS208" s="6"/>
      <c r="BT208" s="6"/>
      <c r="BU208" s="6"/>
      <c r="BV208" s="6"/>
      <c r="BW208" s="6"/>
      <c r="BX208" s="6"/>
      <c r="BY208" s="6"/>
      <c r="BZ208" s="6"/>
      <c r="CA208" s="6"/>
      <c r="CB208" s="6"/>
      <c r="CC208" s="6"/>
      <c r="CD208" s="6"/>
      <c r="CE208" s="6"/>
      <c r="CF208" s="6"/>
      <c r="CG208" s="6"/>
      <c r="CH208" s="6"/>
      <c r="CI208" s="6"/>
      <c r="CJ208" s="6"/>
      <c r="CK208" s="6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  <c r="DA208" s="4"/>
      <c r="DB208" s="4"/>
      <c r="DC208" s="4"/>
      <c r="DD208" s="4"/>
      <c r="DE208" s="4"/>
      <c r="DF208" s="4"/>
      <c r="DG208" s="4"/>
      <c r="DH208" s="4"/>
      <c r="DI208" s="4"/>
      <c r="DJ208" s="4"/>
      <c r="DK208" s="4"/>
      <c r="DL208" s="4"/>
    </row>
    <row r="209" spans="1:116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5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6"/>
      <c r="BN209" s="6"/>
      <c r="BO209" s="6"/>
      <c r="BP209" s="6"/>
      <c r="BQ209" s="6"/>
      <c r="BR209" s="6"/>
      <c r="BS209" s="6"/>
      <c r="BT209" s="6"/>
      <c r="BU209" s="6"/>
      <c r="BV209" s="6"/>
      <c r="BW209" s="6"/>
      <c r="BX209" s="6"/>
      <c r="BY209" s="6"/>
      <c r="BZ209" s="6"/>
      <c r="CA209" s="6"/>
      <c r="CB209" s="6"/>
      <c r="CC209" s="6"/>
      <c r="CD209" s="6"/>
      <c r="CE209" s="6"/>
      <c r="CF209" s="6"/>
      <c r="CG209" s="6"/>
      <c r="CH209" s="6"/>
      <c r="CI209" s="6"/>
      <c r="CJ209" s="6"/>
      <c r="CK209" s="6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4"/>
      <c r="CY209" s="4"/>
      <c r="CZ209" s="4"/>
      <c r="DA209" s="4"/>
      <c r="DB209" s="4"/>
      <c r="DC209" s="4"/>
      <c r="DD209" s="4"/>
      <c r="DE209" s="4"/>
      <c r="DF209" s="4"/>
      <c r="DG209" s="4"/>
      <c r="DH209" s="4"/>
      <c r="DI209" s="4"/>
      <c r="DJ209" s="4"/>
      <c r="DK209" s="4"/>
      <c r="DL209" s="4"/>
    </row>
    <row r="210" spans="1:116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5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6"/>
      <c r="BN210" s="6"/>
      <c r="BO210" s="6"/>
      <c r="BP210" s="6"/>
      <c r="BQ210" s="6"/>
      <c r="BR210" s="6"/>
      <c r="BS210" s="6"/>
      <c r="BT210" s="6"/>
      <c r="BU210" s="6"/>
      <c r="BV210" s="6"/>
      <c r="BW210" s="6"/>
      <c r="BX210" s="6"/>
      <c r="BY210" s="6"/>
      <c r="BZ210" s="6"/>
      <c r="CA210" s="6"/>
      <c r="CB210" s="6"/>
      <c r="CC210" s="6"/>
      <c r="CD210" s="6"/>
      <c r="CE210" s="6"/>
      <c r="CF210" s="6"/>
      <c r="CG210" s="6"/>
      <c r="CH210" s="6"/>
      <c r="CI210" s="6"/>
      <c r="CJ210" s="6"/>
      <c r="CK210" s="6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/>
      <c r="CZ210" s="4"/>
      <c r="DA210" s="4"/>
      <c r="DB210" s="4"/>
      <c r="DC210" s="4"/>
      <c r="DD210" s="4"/>
      <c r="DE210" s="4"/>
      <c r="DF210" s="4"/>
      <c r="DG210" s="4"/>
      <c r="DH210" s="4"/>
      <c r="DI210" s="4"/>
      <c r="DJ210" s="4"/>
      <c r="DK210" s="4"/>
      <c r="DL210" s="4"/>
    </row>
    <row r="211" spans="1:116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5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6"/>
      <c r="BN211" s="6"/>
      <c r="BO211" s="6"/>
      <c r="BP211" s="6"/>
      <c r="BQ211" s="6"/>
      <c r="BR211" s="6"/>
      <c r="BS211" s="6"/>
      <c r="BT211" s="6"/>
      <c r="BU211" s="6"/>
      <c r="BV211" s="6"/>
      <c r="BW211" s="6"/>
      <c r="BX211" s="6"/>
      <c r="BY211" s="6"/>
      <c r="BZ211" s="6"/>
      <c r="CA211" s="6"/>
      <c r="CB211" s="6"/>
      <c r="CC211" s="6"/>
      <c r="CD211" s="6"/>
      <c r="CE211" s="6"/>
      <c r="CF211" s="6"/>
      <c r="CG211" s="6"/>
      <c r="CH211" s="6"/>
      <c r="CI211" s="6"/>
      <c r="CJ211" s="6"/>
      <c r="CK211" s="6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/>
      <c r="CY211" s="4"/>
      <c r="CZ211" s="4"/>
      <c r="DA211" s="4"/>
      <c r="DB211" s="4"/>
      <c r="DC211" s="4"/>
      <c r="DD211" s="4"/>
      <c r="DE211" s="4"/>
      <c r="DF211" s="4"/>
      <c r="DG211" s="4"/>
      <c r="DH211" s="4"/>
      <c r="DI211" s="4"/>
      <c r="DJ211" s="4"/>
      <c r="DK211" s="4"/>
      <c r="DL211" s="4"/>
    </row>
    <row r="212" spans="1:116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5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6"/>
      <c r="BN212" s="6"/>
      <c r="BO212" s="6"/>
      <c r="BP212" s="6"/>
      <c r="BQ212" s="6"/>
      <c r="BR212" s="6"/>
      <c r="BS212" s="6"/>
      <c r="BT212" s="6"/>
      <c r="BU212" s="6"/>
      <c r="BV212" s="6"/>
      <c r="BW212" s="6"/>
      <c r="BX212" s="6"/>
      <c r="BY212" s="6"/>
      <c r="BZ212" s="6"/>
      <c r="CA212" s="6"/>
      <c r="CB212" s="6"/>
      <c r="CC212" s="6"/>
      <c r="CD212" s="6"/>
      <c r="CE212" s="6"/>
      <c r="CF212" s="6"/>
      <c r="CG212" s="6"/>
      <c r="CH212" s="6"/>
      <c r="CI212" s="6"/>
      <c r="CJ212" s="6"/>
      <c r="CK212" s="6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/>
      <c r="DA212" s="4"/>
      <c r="DB212" s="4"/>
      <c r="DC212" s="4"/>
      <c r="DD212" s="4"/>
      <c r="DE212" s="4"/>
      <c r="DF212" s="4"/>
      <c r="DG212" s="4"/>
      <c r="DH212" s="4"/>
      <c r="DI212" s="4"/>
      <c r="DJ212" s="4"/>
      <c r="DK212" s="4"/>
      <c r="DL212" s="4"/>
    </row>
    <row r="213" spans="1:116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5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6"/>
      <c r="BN213" s="6"/>
      <c r="BO213" s="6"/>
      <c r="BP213" s="6"/>
      <c r="BQ213" s="6"/>
      <c r="BR213" s="6"/>
      <c r="BS213" s="6"/>
      <c r="BT213" s="6"/>
      <c r="BU213" s="6"/>
      <c r="BV213" s="6"/>
      <c r="BW213" s="6"/>
      <c r="BX213" s="6"/>
      <c r="BY213" s="6"/>
      <c r="BZ213" s="6"/>
      <c r="CA213" s="6"/>
      <c r="CB213" s="6"/>
      <c r="CC213" s="6"/>
      <c r="CD213" s="6"/>
      <c r="CE213" s="6"/>
      <c r="CF213" s="6"/>
      <c r="CG213" s="6"/>
      <c r="CH213" s="6"/>
      <c r="CI213" s="6"/>
      <c r="CJ213" s="6"/>
      <c r="CK213" s="6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/>
      <c r="CZ213" s="4"/>
      <c r="DA213" s="4"/>
      <c r="DB213" s="4"/>
      <c r="DC213" s="4"/>
      <c r="DD213" s="4"/>
      <c r="DE213" s="4"/>
      <c r="DF213" s="4"/>
      <c r="DG213" s="4"/>
      <c r="DH213" s="4"/>
      <c r="DI213" s="4"/>
      <c r="DJ213" s="4"/>
      <c r="DK213" s="4"/>
      <c r="DL213" s="4"/>
    </row>
    <row r="214" spans="1:116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5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6"/>
      <c r="BN214" s="6"/>
      <c r="BO214" s="6"/>
      <c r="BP214" s="6"/>
      <c r="BQ214" s="6"/>
      <c r="BR214" s="6"/>
      <c r="BS214" s="6"/>
      <c r="BT214" s="6"/>
      <c r="BU214" s="6"/>
      <c r="BV214" s="6"/>
      <c r="BW214" s="6"/>
      <c r="BX214" s="6"/>
      <c r="BY214" s="6"/>
      <c r="BZ214" s="6"/>
      <c r="CA214" s="6"/>
      <c r="CB214" s="6"/>
      <c r="CC214" s="6"/>
      <c r="CD214" s="6"/>
      <c r="CE214" s="6"/>
      <c r="CF214" s="6"/>
      <c r="CG214" s="6"/>
      <c r="CH214" s="6"/>
      <c r="CI214" s="6"/>
      <c r="CJ214" s="6"/>
      <c r="CK214" s="6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/>
      <c r="CZ214" s="4"/>
      <c r="DA214" s="4"/>
      <c r="DB214" s="4"/>
      <c r="DC214" s="4"/>
      <c r="DD214" s="4"/>
      <c r="DE214" s="4"/>
      <c r="DF214" s="4"/>
      <c r="DG214" s="4"/>
      <c r="DH214" s="4"/>
      <c r="DI214" s="4"/>
      <c r="DJ214" s="4"/>
      <c r="DK214" s="4"/>
      <c r="DL214" s="4"/>
    </row>
    <row r="215" spans="1:116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5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6"/>
      <c r="BN215" s="6"/>
      <c r="BO215" s="6"/>
      <c r="BP215" s="6"/>
      <c r="BQ215" s="6"/>
      <c r="BR215" s="6"/>
      <c r="BS215" s="6"/>
      <c r="BT215" s="6"/>
      <c r="BU215" s="6"/>
      <c r="BV215" s="6"/>
      <c r="BW215" s="6"/>
      <c r="BX215" s="6"/>
      <c r="BY215" s="6"/>
      <c r="BZ215" s="6"/>
      <c r="CA215" s="6"/>
      <c r="CB215" s="6"/>
      <c r="CC215" s="6"/>
      <c r="CD215" s="6"/>
      <c r="CE215" s="6"/>
      <c r="CF215" s="6"/>
      <c r="CG215" s="6"/>
      <c r="CH215" s="6"/>
      <c r="CI215" s="6"/>
      <c r="CJ215" s="6"/>
      <c r="CK215" s="6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/>
      <c r="CZ215" s="4"/>
      <c r="DA215" s="4"/>
      <c r="DB215" s="4"/>
      <c r="DC215" s="4"/>
      <c r="DD215" s="4"/>
      <c r="DE215" s="4"/>
      <c r="DF215" s="4"/>
      <c r="DG215" s="4"/>
      <c r="DH215" s="4"/>
      <c r="DI215" s="4"/>
      <c r="DJ215" s="4"/>
      <c r="DK215" s="4"/>
      <c r="DL215" s="4"/>
    </row>
    <row r="216" spans="1:116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5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6"/>
      <c r="BN216" s="6"/>
      <c r="BO216" s="6"/>
      <c r="BP216" s="6"/>
      <c r="BQ216" s="6"/>
      <c r="BR216" s="6"/>
      <c r="BS216" s="6"/>
      <c r="BT216" s="6"/>
      <c r="BU216" s="6"/>
      <c r="BV216" s="6"/>
      <c r="BW216" s="6"/>
      <c r="BX216" s="6"/>
      <c r="BY216" s="6"/>
      <c r="BZ216" s="6"/>
      <c r="CA216" s="6"/>
      <c r="CB216" s="6"/>
      <c r="CC216" s="6"/>
      <c r="CD216" s="6"/>
      <c r="CE216" s="6"/>
      <c r="CF216" s="6"/>
      <c r="CG216" s="6"/>
      <c r="CH216" s="6"/>
      <c r="CI216" s="6"/>
      <c r="CJ216" s="6"/>
      <c r="CK216" s="6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  <c r="CZ216" s="4"/>
      <c r="DA216" s="4"/>
      <c r="DB216" s="4"/>
      <c r="DC216" s="4"/>
      <c r="DD216" s="4"/>
      <c r="DE216" s="4"/>
      <c r="DF216" s="4"/>
      <c r="DG216" s="4"/>
      <c r="DH216" s="4"/>
      <c r="DI216" s="4"/>
      <c r="DJ216" s="4"/>
      <c r="DK216" s="4"/>
      <c r="DL216" s="4"/>
    </row>
    <row r="217" spans="1:116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5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6"/>
      <c r="BN217" s="6"/>
      <c r="BO217" s="6"/>
      <c r="BP217" s="6"/>
      <c r="BQ217" s="6"/>
      <c r="BR217" s="6"/>
      <c r="BS217" s="6"/>
      <c r="BT217" s="6"/>
      <c r="BU217" s="6"/>
      <c r="BV217" s="6"/>
      <c r="BW217" s="6"/>
      <c r="BX217" s="6"/>
      <c r="BY217" s="6"/>
      <c r="BZ217" s="6"/>
      <c r="CA217" s="6"/>
      <c r="CB217" s="6"/>
      <c r="CC217" s="6"/>
      <c r="CD217" s="6"/>
      <c r="CE217" s="6"/>
      <c r="CF217" s="6"/>
      <c r="CG217" s="6"/>
      <c r="CH217" s="6"/>
      <c r="CI217" s="6"/>
      <c r="CJ217" s="6"/>
      <c r="CK217" s="6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  <c r="CY217" s="4"/>
      <c r="CZ217" s="4"/>
      <c r="DA217" s="4"/>
      <c r="DB217" s="4"/>
      <c r="DC217" s="4"/>
      <c r="DD217" s="4"/>
      <c r="DE217" s="4"/>
      <c r="DF217" s="4"/>
      <c r="DG217" s="4"/>
      <c r="DH217" s="4"/>
      <c r="DI217" s="4"/>
      <c r="DJ217" s="4"/>
      <c r="DK217" s="4"/>
      <c r="DL217" s="4"/>
    </row>
    <row r="218" spans="1:116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5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6"/>
      <c r="BN218" s="6"/>
      <c r="BO218" s="6"/>
      <c r="BP218" s="6"/>
      <c r="BQ218" s="6"/>
      <c r="BR218" s="6"/>
      <c r="BS218" s="6"/>
      <c r="BT218" s="6"/>
      <c r="BU218" s="6"/>
      <c r="BV218" s="6"/>
      <c r="BW218" s="6"/>
      <c r="BX218" s="6"/>
      <c r="BY218" s="6"/>
      <c r="BZ218" s="6"/>
      <c r="CA218" s="6"/>
      <c r="CB218" s="6"/>
      <c r="CC218" s="6"/>
      <c r="CD218" s="6"/>
      <c r="CE218" s="6"/>
      <c r="CF218" s="6"/>
      <c r="CG218" s="6"/>
      <c r="CH218" s="6"/>
      <c r="CI218" s="6"/>
      <c r="CJ218" s="6"/>
      <c r="CK218" s="6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/>
      <c r="DA218" s="4"/>
      <c r="DB218" s="4"/>
      <c r="DC218" s="4"/>
      <c r="DD218" s="4"/>
      <c r="DE218" s="4"/>
      <c r="DF218" s="4"/>
      <c r="DG218" s="4"/>
      <c r="DH218" s="4"/>
      <c r="DI218" s="4"/>
      <c r="DJ218" s="4"/>
      <c r="DK218" s="4"/>
      <c r="DL218" s="4"/>
    </row>
    <row r="219" spans="1:116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5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6"/>
      <c r="BN219" s="6"/>
      <c r="BO219" s="6"/>
      <c r="BP219" s="6"/>
      <c r="BQ219" s="6"/>
      <c r="BR219" s="6"/>
      <c r="BS219" s="6"/>
      <c r="BT219" s="6"/>
      <c r="BU219" s="6"/>
      <c r="BV219" s="6"/>
      <c r="BW219" s="6"/>
      <c r="BX219" s="6"/>
      <c r="BY219" s="6"/>
      <c r="BZ219" s="6"/>
      <c r="CA219" s="6"/>
      <c r="CB219" s="6"/>
      <c r="CC219" s="6"/>
      <c r="CD219" s="6"/>
      <c r="CE219" s="6"/>
      <c r="CF219" s="6"/>
      <c r="CG219" s="6"/>
      <c r="CH219" s="6"/>
      <c r="CI219" s="6"/>
      <c r="CJ219" s="6"/>
      <c r="CK219" s="6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/>
      <c r="CY219" s="4"/>
      <c r="CZ219" s="4"/>
      <c r="DA219" s="4"/>
      <c r="DB219" s="4"/>
      <c r="DC219" s="4"/>
      <c r="DD219" s="4"/>
      <c r="DE219" s="4"/>
      <c r="DF219" s="4"/>
      <c r="DG219" s="4"/>
      <c r="DH219" s="4"/>
      <c r="DI219" s="4"/>
      <c r="DJ219" s="4"/>
      <c r="DK219" s="4"/>
      <c r="DL219" s="4"/>
    </row>
    <row r="220" spans="1:116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5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6"/>
      <c r="BN220" s="6"/>
      <c r="BO220" s="6"/>
      <c r="BP220" s="6"/>
      <c r="BQ220" s="6"/>
      <c r="BR220" s="6"/>
      <c r="BS220" s="6"/>
      <c r="BT220" s="6"/>
      <c r="BU220" s="6"/>
      <c r="BV220" s="6"/>
      <c r="BW220" s="6"/>
      <c r="BX220" s="6"/>
      <c r="BY220" s="6"/>
      <c r="BZ220" s="6"/>
      <c r="CA220" s="6"/>
      <c r="CB220" s="6"/>
      <c r="CC220" s="6"/>
      <c r="CD220" s="6"/>
      <c r="CE220" s="6"/>
      <c r="CF220" s="6"/>
      <c r="CG220" s="6"/>
      <c r="CH220" s="6"/>
      <c r="CI220" s="6"/>
      <c r="CJ220" s="6"/>
      <c r="CK220" s="6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/>
      <c r="DA220" s="4"/>
      <c r="DB220" s="4"/>
      <c r="DC220" s="4"/>
      <c r="DD220" s="4"/>
      <c r="DE220" s="4"/>
      <c r="DF220" s="4"/>
      <c r="DG220" s="4"/>
      <c r="DH220" s="4"/>
      <c r="DI220" s="4"/>
      <c r="DJ220" s="4"/>
      <c r="DK220" s="4"/>
      <c r="DL220" s="4"/>
    </row>
    <row r="221" spans="1:116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5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6"/>
      <c r="BN221" s="6"/>
      <c r="BO221" s="6"/>
      <c r="BP221" s="6"/>
      <c r="BQ221" s="6"/>
      <c r="BR221" s="6"/>
      <c r="BS221" s="6"/>
      <c r="BT221" s="6"/>
      <c r="BU221" s="6"/>
      <c r="BV221" s="6"/>
      <c r="BW221" s="6"/>
      <c r="BX221" s="6"/>
      <c r="BY221" s="6"/>
      <c r="BZ221" s="6"/>
      <c r="CA221" s="6"/>
      <c r="CB221" s="6"/>
      <c r="CC221" s="6"/>
      <c r="CD221" s="6"/>
      <c r="CE221" s="6"/>
      <c r="CF221" s="6"/>
      <c r="CG221" s="6"/>
      <c r="CH221" s="6"/>
      <c r="CI221" s="6"/>
      <c r="CJ221" s="6"/>
      <c r="CK221" s="6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  <c r="CY221" s="4"/>
      <c r="CZ221" s="4"/>
      <c r="DA221" s="4"/>
      <c r="DB221" s="4"/>
      <c r="DC221" s="4"/>
      <c r="DD221" s="4"/>
      <c r="DE221" s="4"/>
      <c r="DF221" s="4"/>
      <c r="DG221" s="4"/>
      <c r="DH221" s="4"/>
      <c r="DI221" s="4"/>
      <c r="DJ221" s="4"/>
      <c r="DK221" s="4"/>
      <c r="DL221" s="4"/>
    </row>
    <row r="222" spans="1:116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5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6"/>
      <c r="BN222" s="6"/>
      <c r="BO222" s="6"/>
      <c r="BP222" s="6"/>
      <c r="BQ222" s="6"/>
      <c r="BR222" s="6"/>
      <c r="BS222" s="6"/>
      <c r="BT222" s="6"/>
      <c r="BU222" s="6"/>
      <c r="BV222" s="6"/>
      <c r="BW222" s="6"/>
      <c r="BX222" s="6"/>
      <c r="BY222" s="6"/>
      <c r="BZ222" s="6"/>
      <c r="CA222" s="6"/>
      <c r="CB222" s="6"/>
      <c r="CC222" s="6"/>
      <c r="CD222" s="6"/>
      <c r="CE222" s="6"/>
      <c r="CF222" s="6"/>
      <c r="CG222" s="6"/>
      <c r="CH222" s="6"/>
      <c r="CI222" s="6"/>
      <c r="CJ222" s="6"/>
      <c r="CK222" s="6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/>
      <c r="DA222" s="4"/>
      <c r="DB222" s="4"/>
      <c r="DC222" s="4"/>
      <c r="DD222" s="4"/>
      <c r="DE222" s="4"/>
      <c r="DF222" s="4"/>
      <c r="DG222" s="4"/>
      <c r="DH222" s="4"/>
      <c r="DI222" s="4"/>
      <c r="DJ222" s="4"/>
      <c r="DK222" s="4"/>
      <c r="DL222" s="4"/>
    </row>
    <row r="223" spans="1:116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5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6"/>
      <c r="BN223" s="6"/>
      <c r="BO223" s="6"/>
      <c r="BP223" s="6"/>
      <c r="BQ223" s="6"/>
      <c r="BR223" s="6"/>
      <c r="BS223" s="6"/>
      <c r="BT223" s="6"/>
      <c r="BU223" s="6"/>
      <c r="BV223" s="6"/>
      <c r="BW223" s="6"/>
      <c r="BX223" s="6"/>
      <c r="BY223" s="6"/>
      <c r="BZ223" s="6"/>
      <c r="CA223" s="6"/>
      <c r="CB223" s="6"/>
      <c r="CC223" s="6"/>
      <c r="CD223" s="6"/>
      <c r="CE223" s="6"/>
      <c r="CF223" s="6"/>
      <c r="CG223" s="6"/>
      <c r="CH223" s="6"/>
      <c r="CI223" s="6"/>
      <c r="CJ223" s="6"/>
      <c r="CK223" s="6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  <c r="CY223" s="4"/>
      <c r="CZ223" s="4"/>
      <c r="DA223" s="4"/>
      <c r="DB223" s="4"/>
      <c r="DC223" s="4"/>
      <c r="DD223" s="4"/>
      <c r="DE223" s="4"/>
      <c r="DF223" s="4"/>
      <c r="DG223" s="4"/>
      <c r="DH223" s="4"/>
      <c r="DI223" s="4"/>
      <c r="DJ223" s="4"/>
      <c r="DK223" s="4"/>
      <c r="DL223" s="4"/>
    </row>
    <row r="224" spans="1:116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5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6"/>
      <c r="BN224" s="6"/>
      <c r="BO224" s="6"/>
      <c r="BP224" s="6"/>
      <c r="BQ224" s="6"/>
      <c r="BR224" s="6"/>
      <c r="BS224" s="6"/>
      <c r="BT224" s="6"/>
      <c r="BU224" s="6"/>
      <c r="BV224" s="6"/>
      <c r="BW224" s="6"/>
      <c r="BX224" s="6"/>
      <c r="BY224" s="6"/>
      <c r="BZ224" s="6"/>
      <c r="CA224" s="6"/>
      <c r="CB224" s="6"/>
      <c r="CC224" s="6"/>
      <c r="CD224" s="6"/>
      <c r="CE224" s="6"/>
      <c r="CF224" s="6"/>
      <c r="CG224" s="6"/>
      <c r="CH224" s="6"/>
      <c r="CI224" s="6"/>
      <c r="CJ224" s="6"/>
      <c r="CK224" s="6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/>
      <c r="CZ224" s="4"/>
      <c r="DA224" s="4"/>
      <c r="DB224" s="4"/>
      <c r="DC224" s="4"/>
      <c r="DD224" s="4"/>
      <c r="DE224" s="4"/>
      <c r="DF224" s="4"/>
      <c r="DG224" s="4"/>
      <c r="DH224" s="4"/>
      <c r="DI224" s="4"/>
      <c r="DJ224" s="4"/>
      <c r="DK224" s="4"/>
      <c r="DL224" s="4"/>
    </row>
    <row r="225" spans="1:116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5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6"/>
      <c r="BN225" s="6"/>
      <c r="BO225" s="6"/>
      <c r="BP225" s="6"/>
      <c r="BQ225" s="6"/>
      <c r="BR225" s="6"/>
      <c r="BS225" s="6"/>
      <c r="BT225" s="6"/>
      <c r="BU225" s="6"/>
      <c r="BV225" s="6"/>
      <c r="BW225" s="6"/>
      <c r="BX225" s="6"/>
      <c r="BY225" s="6"/>
      <c r="BZ225" s="6"/>
      <c r="CA225" s="6"/>
      <c r="CB225" s="6"/>
      <c r="CC225" s="6"/>
      <c r="CD225" s="6"/>
      <c r="CE225" s="6"/>
      <c r="CF225" s="6"/>
      <c r="CG225" s="6"/>
      <c r="CH225" s="6"/>
      <c r="CI225" s="6"/>
      <c r="CJ225" s="6"/>
      <c r="CK225" s="6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  <c r="CY225" s="4"/>
      <c r="CZ225" s="4"/>
      <c r="DA225" s="4"/>
      <c r="DB225" s="4"/>
      <c r="DC225" s="4"/>
      <c r="DD225" s="4"/>
      <c r="DE225" s="4"/>
      <c r="DF225" s="4"/>
      <c r="DG225" s="4"/>
      <c r="DH225" s="4"/>
      <c r="DI225" s="4"/>
      <c r="DJ225" s="4"/>
      <c r="DK225" s="4"/>
      <c r="DL225" s="4"/>
    </row>
    <row r="226" spans="1:116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5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6"/>
      <c r="BN226" s="6"/>
      <c r="BO226" s="6"/>
      <c r="BP226" s="6"/>
      <c r="BQ226" s="6"/>
      <c r="BR226" s="6"/>
      <c r="BS226" s="6"/>
      <c r="BT226" s="6"/>
      <c r="BU226" s="6"/>
      <c r="BV226" s="6"/>
      <c r="BW226" s="6"/>
      <c r="BX226" s="6"/>
      <c r="BY226" s="6"/>
      <c r="BZ226" s="6"/>
      <c r="CA226" s="6"/>
      <c r="CB226" s="6"/>
      <c r="CC226" s="6"/>
      <c r="CD226" s="6"/>
      <c r="CE226" s="6"/>
      <c r="CF226" s="6"/>
      <c r="CG226" s="6"/>
      <c r="CH226" s="6"/>
      <c r="CI226" s="6"/>
      <c r="CJ226" s="6"/>
      <c r="CK226" s="6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/>
      <c r="DA226" s="4"/>
      <c r="DB226" s="4"/>
      <c r="DC226" s="4"/>
      <c r="DD226" s="4"/>
      <c r="DE226" s="4"/>
      <c r="DF226" s="4"/>
      <c r="DG226" s="4"/>
      <c r="DH226" s="4"/>
      <c r="DI226" s="4"/>
      <c r="DJ226" s="4"/>
      <c r="DK226" s="4"/>
      <c r="DL226" s="4"/>
    </row>
    <row r="227" spans="1:116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5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6"/>
      <c r="BN227" s="6"/>
      <c r="BO227" s="6"/>
      <c r="BP227" s="6"/>
      <c r="BQ227" s="6"/>
      <c r="BR227" s="6"/>
      <c r="BS227" s="6"/>
      <c r="BT227" s="6"/>
      <c r="BU227" s="6"/>
      <c r="BV227" s="6"/>
      <c r="BW227" s="6"/>
      <c r="BX227" s="6"/>
      <c r="BY227" s="6"/>
      <c r="BZ227" s="6"/>
      <c r="CA227" s="6"/>
      <c r="CB227" s="6"/>
      <c r="CC227" s="6"/>
      <c r="CD227" s="6"/>
      <c r="CE227" s="6"/>
      <c r="CF227" s="6"/>
      <c r="CG227" s="6"/>
      <c r="CH227" s="6"/>
      <c r="CI227" s="6"/>
      <c r="CJ227" s="6"/>
      <c r="CK227" s="6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  <c r="CY227" s="4"/>
      <c r="CZ227" s="4"/>
      <c r="DA227" s="4"/>
      <c r="DB227" s="4"/>
      <c r="DC227" s="4"/>
      <c r="DD227" s="4"/>
      <c r="DE227" s="4"/>
      <c r="DF227" s="4"/>
      <c r="DG227" s="4"/>
      <c r="DH227" s="4"/>
      <c r="DI227" s="4"/>
      <c r="DJ227" s="4"/>
      <c r="DK227" s="4"/>
      <c r="DL227" s="4"/>
    </row>
    <row r="228" spans="1:116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5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6"/>
      <c r="BN228" s="6"/>
      <c r="BO228" s="6"/>
      <c r="BP228" s="6"/>
      <c r="BQ228" s="6"/>
      <c r="BR228" s="6"/>
      <c r="BS228" s="6"/>
      <c r="BT228" s="6"/>
      <c r="BU228" s="6"/>
      <c r="BV228" s="6"/>
      <c r="BW228" s="6"/>
      <c r="BX228" s="6"/>
      <c r="BY228" s="6"/>
      <c r="BZ228" s="6"/>
      <c r="CA228" s="6"/>
      <c r="CB228" s="6"/>
      <c r="CC228" s="6"/>
      <c r="CD228" s="6"/>
      <c r="CE228" s="6"/>
      <c r="CF228" s="6"/>
      <c r="CG228" s="6"/>
      <c r="CH228" s="6"/>
      <c r="CI228" s="6"/>
      <c r="CJ228" s="6"/>
      <c r="CK228" s="6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/>
      <c r="CZ228" s="4"/>
      <c r="DA228" s="4"/>
      <c r="DB228" s="4"/>
      <c r="DC228" s="4"/>
      <c r="DD228" s="4"/>
      <c r="DE228" s="4"/>
      <c r="DF228" s="4"/>
      <c r="DG228" s="4"/>
      <c r="DH228" s="4"/>
      <c r="DI228" s="4"/>
      <c r="DJ228" s="4"/>
      <c r="DK228" s="4"/>
      <c r="DL228" s="4"/>
    </row>
    <row r="229" spans="1:116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5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6"/>
      <c r="BN229" s="6"/>
      <c r="BO229" s="6"/>
      <c r="BP229" s="6"/>
      <c r="BQ229" s="6"/>
      <c r="BR229" s="6"/>
      <c r="BS229" s="6"/>
      <c r="BT229" s="6"/>
      <c r="BU229" s="6"/>
      <c r="BV229" s="6"/>
      <c r="BW229" s="6"/>
      <c r="BX229" s="6"/>
      <c r="BY229" s="6"/>
      <c r="BZ229" s="6"/>
      <c r="CA229" s="6"/>
      <c r="CB229" s="6"/>
      <c r="CC229" s="6"/>
      <c r="CD229" s="6"/>
      <c r="CE229" s="6"/>
      <c r="CF229" s="6"/>
      <c r="CG229" s="6"/>
      <c r="CH229" s="6"/>
      <c r="CI229" s="6"/>
      <c r="CJ229" s="6"/>
      <c r="CK229" s="6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4"/>
      <c r="CZ229" s="4"/>
      <c r="DA229" s="4"/>
      <c r="DB229" s="4"/>
      <c r="DC229" s="4"/>
      <c r="DD229" s="4"/>
      <c r="DE229" s="4"/>
      <c r="DF229" s="4"/>
      <c r="DG229" s="4"/>
      <c r="DH229" s="4"/>
      <c r="DI229" s="4"/>
      <c r="DJ229" s="4"/>
      <c r="DK229" s="4"/>
      <c r="DL229" s="4"/>
    </row>
    <row r="230" spans="1:116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5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6"/>
      <c r="BN230" s="6"/>
      <c r="BO230" s="6"/>
      <c r="BP230" s="6"/>
      <c r="BQ230" s="6"/>
      <c r="BR230" s="6"/>
      <c r="BS230" s="6"/>
      <c r="BT230" s="6"/>
      <c r="BU230" s="6"/>
      <c r="BV230" s="6"/>
      <c r="BW230" s="6"/>
      <c r="BX230" s="6"/>
      <c r="BY230" s="6"/>
      <c r="BZ230" s="6"/>
      <c r="CA230" s="6"/>
      <c r="CB230" s="6"/>
      <c r="CC230" s="6"/>
      <c r="CD230" s="6"/>
      <c r="CE230" s="6"/>
      <c r="CF230" s="6"/>
      <c r="CG230" s="6"/>
      <c r="CH230" s="6"/>
      <c r="CI230" s="6"/>
      <c r="CJ230" s="6"/>
      <c r="CK230" s="6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  <c r="DA230" s="4"/>
      <c r="DB230" s="4"/>
      <c r="DC230" s="4"/>
      <c r="DD230" s="4"/>
      <c r="DE230" s="4"/>
      <c r="DF230" s="4"/>
      <c r="DG230" s="4"/>
      <c r="DH230" s="4"/>
      <c r="DI230" s="4"/>
      <c r="DJ230" s="4"/>
      <c r="DK230" s="4"/>
      <c r="DL230" s="4"/>
    </row>
    <row r="231" spans="1:116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5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6"/>
      <c r="BN231" s="6"/>
      <c r="BO231" s="6"/>
      <c r="BP231" s="6"/>
      <c r="BQ231" s="6"/>
      <c r="BR231" s="6"/>
      <c r="BS231" s="6"/>
      <c r="BT231" s="6"/>
      <c r="BU231" s="6"/>
      <c r="BV231" s="6"/>
      <c r="BW231" s="6"/>
      <c r="BX231" s="6"/>
      <c r="BY231" s="6"/>
      <c r="BZ231" s="6"/>
      <c r="CA231" s="6"/>
      <c r="CB231" s="6"/>
      <c r="CC231" s="6"/>
      <c r="CD231" s="6"/>
      <c r="CE231" s="6"/>
      <c r="CF231" s="6"/>
      <c r="CG231" s="6"/>
      <c r="CH231" s="6"/>
      <c r="CI231" s="6"/>
      <c r="CJ231" s="6"/>
      <c r="CK231" s="6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/>
      <c r="CY231" s="4"/>
      <c r="CZ231" s="4"/>
      <c r="DA231" s="4"/>
      <c r="DB231" s="4"/>
      <c r="DC231" s="4"/>
      <c r="DD231" s="4"/>
      <c r="DE231" s="4"/>
      <c r="DF231" s="4"/>
      <c r="DG231" s="4"/>
      <c r="DH231" s="4"/>
      <c r="DI231" s="4"/>
      <c r="DJ231" s="4"/>
      <c r="DK231" s="4"/>
      <c r="DL231" s="4"/>
    </row>
    <row r="232" spans="1:116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5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6"/>
      <c r="BN232" s="6"/>
      <c r="BO232" s="6"/>
      <c r="BP232" s="6"/>
      <c r="BQ232" s="6"/>
      <c r="BR232" s="6"/>
      <c r="BS232" s="6"/>
      <c r="BT232" s="6"/>
      <c r="BU232" s="6"/>
      <c r="BV232" s="6"/>
      <c r="BW232" s="6"/>
      <c r="BX232" s="6"/>
      <c r="BY232" s="6"/>
      <c r="BZ232" s="6"/>
      <c r="CA232" s="6"/>
      <c r="CB232" s="6"/>
      <c r="CC232" s="6"/>
      <c r="CD232" s="6"/>
      <c r="CE232" s="6"/>
      <c r="CF232" s="6"/>
      <c r="CG232" s="6"/>
      <c r="CH232" s="6"/>
      <c r="CI232" s="6"/>
      <c r="CJ232" s="6"/>
      <c r="CK232" s="6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/>
      <c r="CZ232" s="4"/>
      <c r="DA232" s="4"/>
      <c r="DB232" s="4"/>
      <c r="DC232" s="4"/>
      <c r="DD232" s="4"/>
      <c r="DE232" s="4"/>
      <c r="DF232" s="4"/>
      <c r="DG232" s="4"/>
      <c r="DH232" s="4"/>
      <c r="DI232" s="4"/>
      <c r="DJ232" s="4"/>
      <c r="DK232" s="4"/>
      <c r="DL232" s="4"/>
    </row>
    <row r="233" spans="1:116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5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6"/>
      <c r="BN233" s="6"/>
      <c r="BO233" s="6"/>
      <c r="BP233" s="6"/>
      <c r="BQ233" s="6"/>
      <c r="BR233" s="6"/>
      <c r="BS233" s="6"/>
      <c r="BT233" s="6"/>
      <c r="BU233" s="6"/>
      <c r="BV233" s="6"/>
      <c r="BW233" s="6"/>
      <c r="BX233" s="6"/>
      <c r="BY233" s="6"/>
      <c r="BZ233" s="6"/>
      <c r="CA233" s="6"/>
      <c r="CB233" s="6"/>
      <c r="CC233" s="6"/>
      <c r="CD233" s="6"/>
      <c r="CE233" s="6"/>
      <c r="CF233" s="6"/>
      <c r="CG233" s="6"/>
      <c r="CH233" s="6"/>
      <c r="CI233" s="6"/>
      <c r="CJ233" s="6"/>
      <c r="CK233" s="6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  <c r="DJ233" s="4"/>
      <c r="DK233" s="4"/>
      <c r="DL233" s="4"/>
    </row>
    <row r="234" spans="1:116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5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6"/>
      <c r="BN234" s="6"/>
      <c r="BO234" s="6"/>
      <c r="BP234" s="6"/>
      <c r="BQ234" s="6"/>
      <c r="BR234" s="6"/>
      <c r="BS234" s="6"/>
      <c r="BT234" s="6"/>
      <c r="BU234" s="6"/>
      <c r="BV234" s="6"/>
      <c r="BW234" s="6"/>
      <c r="BX234" s="6"/>
      <c r="BY234" s="6"/>
      <c r="BZ234" s="6"/>
      <c r="CA234" s="6"/>
      <c r="CB234" s="6"/>
      <c r="CC234" s="6"/>
      <c r="CD234" s="6"/>
      <c r="CE234" s="6"/>
      <c r="CF234" s="6"/>
      <c r="CG234" s="6"/>
      <c r="CH234" s="6"/>
      <c r="CI234" s="6"/>
      <c r="CJ234" s="6"/>
      <c r="CK234" s="6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/>
      <c r="CZ234" s="4"/>
      <c r="DA234" s="4"/>
      <c r="DB234" s="4"/>
      <c r="DC234" s="4"/>
      <c r="DD234" s="4"/>
      <c r="DE234" s="4"/>
      <c r="DF234" s="4"/>
      <c r="DG234" s="4"/>
      <c r="DH234" s="4"/>
      <c r="DI234" s="4"/>
      <c r="DJ234" s="4"/>
      <c r="DK234" s="4"/>
      <c r="DL234" s="4"/>
    </row>
    <row r="235" spans="1:116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5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6"/>
      <c r="BN235" s="6"/>
      <c r="BO235" s="6"/>
      <c r="BP235" s="6"/>
      <c r="BQ235" s="6"/>
      <c r="BR235" s="6"/>
      <c r="BS235" s="6"/>
      <c r="BT235" s="6"/>
      <c r="BU235" s="6"/>
      <c r="BV235" s="6"/>
      <c r="BW235" s="6"/>
      <c r="BX235" s="6"/>
      <c r="BY235" s="6"/>
      <c r="BZ235" s="6"/>
      <c r="CA235" s="6"/>
      <c r="CB235" s="6"/>
      <c r="CC235" s="6"/>
      <c r="CD235" s="6"/>
      <c r="CE235" s="6"/>
      <c r="CF235" s="6"/>
      <c r="CG235" s="6"/>
      <c r="CH235" s="6"/>
      <c r="CI235" s="6"/>
      <c r="CJ235" s="6"/>
      <c r="CK235" s="6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4"/>
      <c r="CX235" s="4"/>
      <c r="CY235" s="4"/>
      <c r="CZ235" s="4"/>
      <c r="DA235" s="4"/>
      <c r="DB235" s="4"/>
      <c r="DC235" s="4"/>
      <c r="DD235" s="4"/>
      <c r="DE235" s="4"/>
      <c r="DF235" s="4"/>
      <c r="DG235" s="4"/>
      <c r="DH235" s="4"/>
      <c r="DI235" s="4"/>
      <c r="DJ235" s="4"/>
      <c r="DK235" s="4"/>
      <c r="DL235" s="4"/>
    </row>
    <row r="236" spans="1:116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5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6"/>
      <c r="BN236" s="6"/>
      <c r="BO236" s="6"/>
      <c r="BP236" s="6"/>
      <c r="BQ236" s="6"/>
      <c r="BR236" s="6"/>
      <c r="BS236" s="6"/>
      <c r="BT236" s="6"/>
      <c r="BU236" s="6"/>
      <c r="BV236" s="6"/>
      <c r="BW236" s="6"/>
      <c r="BX236" s="6"/>
      <c r="BY236" s="6"/>
      <c r="BZ236" s="6"/>
      <c r="CA236" s="6"/>
      <c r="CB236" s="6"/>
      <c r="CC236" s="6"/>
      <c r="CD236" s="6"/>
      <c r="CE236" s="6"/>
      <c r="CF236" s="6"/>
      <c r="CG236" s="6"/>
      <c r="CH236" s="6"/>
      <c r="CI236" s="6"/>
      <c r="CJ236" s="6"/>
      <c r="CK236" s="6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/>
      <c r="CZ236" s="4"/>
      <c r="DA236" s="4"/>
      <c r="DB236" s="4"/>
      <c r="DC236" s="4"/>
      <c r="DD236" s="4"/>
      <c r="DE236" s="4"/>
      <c r="DF236" s="4"/>
      <c r="DG236" s="4"/>
      <c r="DH236" s="4"/>
      <c r="DI236" s="4"/>
      <c r="DJ236" s="4"/>
      <c r="DK236" s="4"/>
      <c r="DL236" s="4"/>
    </row>
    <row r="237" spans="1:116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5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6"/>
      <c r="BN237" s="6"/>
      <c r="BO237" s="6"/>
      <c r="BP237" s="6"/>
      <c r="BQ237" s="6"/>
      <c r="BR237" s="6"/>
      <c r="BS237" s="6"/>
      <c r="BT237" s="6"/>
      <c r="BU237" s="6"/>
      <c r="BV237" s="6"/>
      <c r="BW237" s="6"/>
      <c r="BX237" s="6"/>
      <c r="BY237" s="6"/>
      <c r="BZ237" s="6"/>
      <c r="CA237" s="6"/>
      <c r="CB237" s="6"/>
      <c r="CC237" s="6"/>
      <c r="CD237" s="6"/>
      <c r="CE237" s="6"/>
      <c r="CF237" s="6"/>
      <c r="CG237" s="6"/>
      <c r="CH237" s="6"/>
      <c r="CI237" s="6"/>
      <c r="CJ237" s="6"/>
      <c r="CK237" s="6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  <c r="CW237" s="4"/>
      <c r="CX237" s="4"/>
      <c r="CY237" s="4"/>
      <c r="CZ237" s="4"/>
      <c r="DA237" s="4"/>
      <c r="DB237" s="4"/>
      <c r="DC237" s="4"/>
      <c r="DD237" s="4"/>
      <c r="DE237" s="4"/>
      <c r="DF237" s="4"/>
      <c r="DG237" s="4"/>
      <c r="DH237" s="4"/>
      <c r="DI237" s="4"/>
      <c r="DJ237" s="4"/>
      <c r="DK237" s="4"/>
      <c r="DL237" s="4"/>
    </row>
    <row r="238" spans="1:116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5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6"/>
      <c r="BN238" s="6"/>
      <c r="BO238" s="6"/>
      <c r="BP238" s="6"/>
      <c r="BQ238" s="6"/>
      <c r="BR238" s="6"/>
      <c r="BS238" s="6"/>
      <c r="BT238" s="6"/>
      <c r="BU238" s="6"/>
      <c r="BV238" s="6"/>
      <c r="BW238" s="6"/>
      <c r="BX238" s="6"/>
      <c r="BY238" s="6"/>
      <c r="BZ238" s="6"/>
      <c r="CA238" s="6"/>
      <c r="CB238" s="6"/>
      <c r="CC238" s="6"/>
      <c r="CD238" s="6"/>
      <c r="CE238" s="6"/>
      <c r="CF238" s="6"/>
      <c r="CG238" s="6"/>
      <c r="CH238" s="6"/>
      <c r="CI238" s="6"/>
      <c r="CJ238" s="6"/>
      <c r="CK238" s="6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  <c r="DA238" s="4"/>
      <c r="DB238" s="4"/>
      <c r="DC238" s="4"/>
      <c r="DD238" s="4"/>
      <c r="DE238" s="4"/>
      <c r="DF238" s="4"/>
      <c r="DG238" s="4"/>
      <c r="DH238" s="4"/>
      <c r="DI238" s="4"/>
      <c r="DJ238" s="4"/>
      <c r="DK238" s="4"/>
      <c r="DL238" s="4"/>
    </row>
    <row r="239" spans="1:116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5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6"/>
      <c r="BN239" s="6"/>
      <c r="BO239" s="6"/>
      <c r="BP239" s="6"/>
      <c r="BQ239" s="6"/>
      <c r="BR239" s="6"/>
      <c r="BS239" s="6"/>
      <c r="BT239" s="6"/>
      <c r="BU239" s="6"/>
      <c r="BV239" s="6"/>
      <c r="BW239" s="6"/>
      <c r="BX239" s="6"/>
      <c r="BY239" s="6"/>
      <c r="BZ239" s="6"/>
      <c r="CA239" s="6"/>
      <c r="CB239" s="6"/>
      <c r="CC239" s="6"/>
      <c r="CD239" s="6"/>
      <c r="CE239" s="6"/>
      <c r="CF239" s="6"/>
      <c r="CG239" s="6"/>
      <c r="CH239" s="6"/>
      <c r="CI239" s="6"/>
      <c r="CJ239" s="6"/>
      <c r="CK239" s="6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/>
      <c r="CZ239" s="4"/>
      <c r="DA239" s="4"/>
      <c r="DB239" s="4"/>
      <c r="DC239" s="4"/>
      <c r="DD239" s="4"/>
      <c r="DE239" s="4"/>
      <c r="DF239" s="4"/>
      <c r="DG239" s="4"/>
      <c r="DH239" s="4"/>
      <c r="DI239" s="4"/>
      <c r="DJ239" s="4"/>
      <c r="DK239" s="4"/>
      <c r="DL239" s="4"/>
    </row>
    <row r="240" spans="1:116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5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</row>
    <row r="241" spans="1:62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5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</row>
    <row r="242" spans="1:62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5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</row>
    <row r="243" spans="1:62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5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</row>
    <row r="244" spans="1:62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5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</row>
    <row r="245" spans="1:62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5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</row>
    <row r="246" spans="1:62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5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</row>
    <row r="247" spans="1:62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5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</row>
    <row r="248" spans="1:62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5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</row>
    <row r="249" spans="1:62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5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</row>
    <row r="250" spans="1:62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5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</row>
    <row r="251" spans="1:62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5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</row>
    <row r="252" spans="1:62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5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</row>
    <row r="253" spans="1:62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5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</row>
    <row r="254" spans="1:62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5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</row>
    <row r="255" spans="1:62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5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</row>
    <row r="256" spans="1:62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5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</row>
    <row r="257" spans="1:62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5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</row>
    <row r="258" spans="1:62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5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</row>
    <row r="259" spans="1:62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5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</row>
    <row r="260" spans="1:62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5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</row>
    <row r="261" spans="1:62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5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</row>
    <row r="262" spans="1:62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5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</row>
    <row r="263" spans="1:62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5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</row>
    <row r="264" spans="1:62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5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</row>
    <row r="265" spans="1:62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5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</row>
    <row r="266" spans="1:62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5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</row>
    <row r="267" spans="1:62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5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</row>
    <row r="268" spans="1:62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5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</row>
    <row r="269" spans="1:62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5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</row>
    <row r="270" spans="1:62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5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</row>
    <row r="271" spans="1:62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5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</row>
    <row r="272" spans="1:62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5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</row>
    <row r="273" spans="1:62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5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</row>
    <row r="274" spans="1:62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5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</row>
    <row r="275" spans="1:62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5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</row>
    <row r="276" spans="1:62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5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</row>
    <row r="277" spans="1:62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5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</row>
    <row r="278" spans="1:62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5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</row>
    <row r="279" spans="1:62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5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</row>
    <row r="280" spans="1:62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5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</row>
    <row r="281" spans="1:62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5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</row>
    <row r="282" spans="1:62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5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</row>
    <row r="283" spans="1:62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5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</row>
    <row r="284" spans="1:62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5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</row>
    <row r="285" spans="1:62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5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</row>
    <row r="286" spans="1:62" x14ac:dyDescent="0.25">
      <c r="A286" s="4"/>
      <c r="B286" s="4"/>
      <c r="C286" s="4"/>
      <c r="D286" s="4"/>
      <c r="E286" s="4"/>
      <c r="F286" s="4"/>
      <c r="G286" s="4"/>
      <c r="H286" s="4"/>
      <c r="P286" s="4"/>
      <c r="Q286" s="4"/>
      <c r="R286" s="4"/>
      <c r="S286" s="5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</row>
    <row r="287" spans="1:62" x14ac:dyDescent="0.25">
      <c r="P287" s="4"/>
      <c r="Q287" s="4"/>
      <c r="R287" s="4"/>
      <c r="S287" s="5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</row>
    <row r="288" spans="1:62" x14ac:dyDescent="0.25">
      <c r="S288" s="5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</row>
    <row r="289" spans="19:62" x14ac:dyDescent="0.25">
      <c r="S289" s="5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</row>
    <row r="290" spans="19:62" x14ac:dyDescent="0.25">
      <c r="S290" s="5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</row>
    <row r="291" spans="19:62" x14ac:dyDescent="0.25">
      <c r="S291" s="5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</row>
    <row r="292" spans="19:62" x14ac:dyDescent="0.25">
      <c r="S292" s="5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</row>
    <row r="293" spans="19:62" x14ac:dyDescent="0.25">
      <c r="S293" s="5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</row>
    <row r="294" spans="19:62" x14ac:dyDescent="0.25">
      <c r="S294" s="5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</row>
    <row r="295" spans="19:62" x14ac:dyDescent="0.25">
      <c r="S295" s="5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</row>
    <row r="296" spans="19:62" x14ac:dyDescent="0.25">
      <c r="S296" s="5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</row>
    <row r="297" spans="19:62" x14ac:dyDescent="0.25">
      <c r="S297" s="5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</row>
    <row r="298" spans="19:62" x14ac:dyDescent="0.25">
      <c r="S298" s="5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</row>
    <row r="299" spans="19:62" x14ac:dyDescent="0.25">
      <c r="S299" s="5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</row>
    <row r="300" spans="19:62" x14ac:dyDescent="0.25">
      <c r="S300" s="5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</row>
    <row r="301" spans="19:62" x14ac:dyDescent="0.25">
      <c r="S301" s="5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</row>
    <row r="302" spans="19:62" x14ac:dyDescent="0.25">
      <c r="S302" s="5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</row>
    <row r="303" spans="19:62" x14ac:dyDescent="0.25">
      <c r="S303" s="5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</row>
    <row r="304" spans="19:62" x14ac:dyDescent="0.25">
      <c r="S304" s="5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</row>
    <row r="305" spans="19:62" x14ac:dyDescent="0.25">
      <c r="S305" s="5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</row>
    <row r="306" spans="19:62" x14ac:dyDescent="0.25">
      <c r="S306" s="5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</row>
    <row r="307" spans="19:62" x14ac:dyDescent="0.25">
      <c r="S307" s="5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</row>
    <row r="308" spans="19:62" x14ac:dyDescent="0.25">
      <c r="S308" s="5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</row>
    <row r="309" spans="19:62" x14ac:dyDescent="0.25">
      <c r="S309" s="5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</row>
    <row r="310" spans="19:62" x14ac:dyDescent="0.25">
      <c r="S310" s="5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</row>
    <row r="311" spans="19:62" x14ac:dyDescent="0.25">
      <c r="S311" s="5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</row>
    <row r="312" spans="19:62" x14ac:dyDescent="0.25">
      <c r="S312" s="5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</row>
    <row r="313" spans="19:62" x14ac:dyDescent="0.25">
      <c r="S313" s="5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</row>
    <row r="314" spans="19:62" x14ac:dyDescent="0.25">
      <c r="S314" s="5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</row>
    <row r="315" spans="19:62" x14ac:dyDescent="0.25">
      <c r="S315" s="5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</row>
    <row r="316" spans="19:62" x14ac:dyDescent="0.25">
      <c r="S316" s="5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</row>
    <row r="317" spans="19:62" x14ac:dyDescent="0.25">
      <c r="S317" s="5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</row>
    <row r="318" spans="19:62" x14ac:dyDescent="0.25">
      <c r="S318" s="5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</row>
    <row r="319" spans="19:62" x14ac:dyDescent="0.25">
      <c r="S319" s="5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</row>
    <row r="320" spans="19:62" x14ac:dyDescent="0.25">
      <c r="S320" s="5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</row>
    <row r="321" spans="19:62" x14ac:dyDescent="0.25">
      <c r="S321" s="5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</row>
    <row r="322" spans="19:62" x14ac:dyDescent="0.25">
      <c r="S322" s="5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</row>
    <row r="323" spans="19:62" x14ac:dyDescent="0.25">
      <c r="S323" s="5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</row>
    <row r="324" spans="19:62" x14ac:dyDescent="0.25">
      <c r="S324" s="5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</row>
    <row r="325" spans="19:62" x14ac:dyDescent="0.25">
      <c r="S325" s="5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</row>
    <row r="326" spans="19:62" x14ac:dyDescent="0.25">
      <c r="S326" s="5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</row>
    <row r="327" spans="19:62" x14ac:dyDescent="0.25">
      <c r="S327" s="5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</row>
    <row r="328" spans="19:62" x14ac:dyDescent="0.25">
      <c r="S328" s="5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</row>
    <row r="329" spans="19:62" x14ac:dyDescent="0.25">
      <c r="S329" s="5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</row>
    <row r="330" spans="19:62" x14ac:dyDescent="0.25">
      <c r="S330" s="5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</row>
    <row r="331" spans="19:62" x14ac:dyDescent="0.25">
      <c r="S331" s="5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</row>
    <row r="332" spans="19:62" x14ac:dyDescent="0.25">
      <c r="S332" s="5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</row>
    <row r="333" spans="19:62" x14ac:dyDescent="0.25">
      <c r="S333" s="5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</row>
    <row r="334" spans="19:62" x14ac:dyDescent="0.25">
      <c r="S334" s="5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</row>
    <row r="335" spans="19:62" x14ac:dyDescent="0.25">
      <c r="S335" s="5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</row>
    <row r="336" spans="19:62" x14ac:dyDescent="0.25">
      <c r="S336" s="5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</row>
    <row r="337" spans="19:62" x14ac:dyDescent="0.25">
      <c r="S337" s="5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</row>
    <row r="338" spans="19:62" x14ac:dyDescent="0.25">
      <c r="S338" s="5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</row>
    <row r="339" spans="19:62" x14ac:dyDescent="0.25">
      <c r="S339" s="5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</row>
    <row r="340" spans="19:62" x14ac:dyDescent="0.25">
      <c r="S340" s="5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</row>
    <row r="341" spans="19:62" x14ac:dyDescent="0.25">
      <c r="S341" s="5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</row>
    <row r="342" spans="19:62" x14ac:dyDescent="0.25">
      <c r="S342" s="5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</row>
    <row r="343" spans="19:62" x14ac:dyDescent="0.25">
      <c r="S343" s="5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</row>
    <row r="344" spans="19:62" x14ac:dyDescent="0.25">
      <c r="S344" s="5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</row>
    <row r="345" spans="19:62" x14ac:dyDescent="0.25">
      <c r="S345" s="5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</row>
    <row r="346" spans="19:62" x14ac:dyDescent="0.25">
      <c r="S346" s="5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</row>
    <row r="347" spans="19:62" x14ac:dyDescent="0.25">
      <c r="S347" s="5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</row>
    <row r="348" spans="19:62" x14ac:dyDescent="0.25">
      <c r="S348" s="5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</row>
    <row r="349" spans="19:62" x14ac:dyDescent="0.25">
      <c r="S349" s="5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</row>
    <row r="350" spans="19:62" x14ac:dyDescent="0.25">
      <c r="S350" s="5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</row>
    <row r="351" spans="19:62" x14ac:dyDescent="0.25">
      <c r="S351" s="5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</row>
    <row r="352" spans="19:62" x14ac:dyDescent="0.25">
      <c r="S352" s="5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</row>
    <row r="353" spans="19:62" x14ac:dyDescent="0.25">
      <c r="S353" s="5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</row>
    <row r="354" spans="19:62" x14ac:dyDescent="0.25">
      <c r="S354" s="5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</row>
    <row r="355" spans="19:62" x14ac:dyDescent="0.25">
      <c r="S355" s="5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</row>
    <row r="356" spans="19:62" x14ac:dyDescent="0.25">
      <c r="S356" s="5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</row>
    <row r="357" spans="19:62" x14ac:dyDescent="0.25">
      <c r="S357" s="5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</row>
    <row r="358" spans="19:62" x14ac:dyDescent="0.25">
      <c r="S358" s="5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</row>
    <row r="359" spans="19:62" x14ac:dyDescent="0.25">
      <c r="S359" s="5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</row>
    <row r="360" spans="19:62" x14ac:dyDescent="0.25">
      <c r="S360" s="5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</row>
    <row r="361" spans="19:62" x14ac:dyDescent="0.25">
      <c r="S361" s="5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</row>
    <row r="362" spans="19:62" x14ac:dyDescent="0.25">
      <c r="S362" s="5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</row>
    <row r="363" spans="19:62" x14ac:dyDescent="0.25">
      <c r="S363" s="5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</row>
    <row r="364" spans="19:62" x14ac:dyDescent="0.25">
      <c r="S364" s="5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</row>
    <row r="365" spans="19:62" x14ac:dyDescent="0.25">
      <c r="S365" s="5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</row>
    <row r="366" spans="19:62" x14ac:dyDescent="0.25">
      <c r="S366" s="5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</row>
    <row r="367" spans="19:62" x14ac:dyDescent="0.25">
      <c r="S367" s="5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</row>
    <row r="368" spans="19:62" x14ac:dyDescent="0.25">
      <c r="S368" s="5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</row>
    <row r="369" spans="19:62" x14ac:dyDescent="0.25">
      <c r="S369" s="5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</row>
    <row r="370" spans="19:62" x14ac:dyDescent="0.25">
      <c r="S370" s="5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</row>
    <row r="371" spans="19:62" x14ac:dyDescent="0.25">
      <c r="S371" s="5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</row>
    <row r="372" spans="19:62" x14ac:dyDescent="0.25">
      <c r="S372" s="5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</row>
    <row r="373" spans="19:62" x14ac:dyDescent="0.25">
      <c r="S373" s="5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</row>
    <row r="374" spans="19:62" x14ac:dyDescent="0.25">
      <c r="S374" s="5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</row>
    <row r="375" spans="19:62" x14ac:dyDescent="0.25">
      <c r="S375" s="5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</row>
    <row r="376" spans="19:62" x14ac:dyDescent="0.25">
      <c r="S376" s="5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</row>
    <row r="377" spans="19:62" x14ac:dyDescent="0.25">
      <c r="S377" s="5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</row>
    <row r="378" spans="19:62" x14ac:dyDescent="0.25">
      <c r="S378" s="5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</row>
    <row r="379" spans="19:62" x14ac:dyDescent="0.25">
      <c r="S379" s="5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</row>
    <row r="380" spans="19:62" x14ac:dyDescent="0.25">
      <c r="S380" s="5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</row>
    <row r="381" spans="19:62" x14ac:dyDescent="0.25">
      <c r="S381" s="5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</row>
    <row r="382" spans="19:62" x14ac:dyDescent="0.25">
      <c r="S382" s="5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</row>
    <row r="383" spans="19:62" x14ac:dyDescent="0.25">
      <c r="S383" s="5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</row>
    <row r="384" spans="19:62" x14ac:dyDescent="0.25">
      <c r="S384" s="5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</row>
    <row r="385" spans="19:62" x14ac:dyDescent="0.25">
      <c r="S385" s="5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</row>
    <row r="386" spans="19:62" x14ac:dyDescent="0.25">
      <c r="S386" s="5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</row>
    <row r="387" spans="19:62" x14ac:dyDescent="0.25">
      <c r="S387" s="5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</row>
    <row r="388" spans="19:62" x14ac:dyDescent="0.25">
      <c r="S388" s="5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</row>
    <row r="389" spans="19:62" x14ac:dyDescent="0.25">
      <c r="S389" s="5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</row>
    <row r="390" spans="19:62" x14ac:dyDescent="0.25">
      <c r="S390" s="5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</row>
    <row r="391" spans="19:62" x14ac:dyDescent="0.25">
      <c r="S391" s="5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</row>
    <row r="392" spans="19:62" x14ac:dyDescent="0.25">
      <c r="S392" s="5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</row>
    <row r="393" spans="19:62" x14ac:dyDescent="0.25">
      <c r="S393" s="5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</row>
    <row r="394" spans="19:62" x14ac:dyDescent="0.25">
      <c r="S394" s="5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</row>
    <row r="395" spans="19:62" x14ac:dyDescent="0.25">
      <c r="S395" s="5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</row>
    <row r="396" spans="19:62" x14ac:dyDescent="0.25">
      <c r="S396" s="5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</row>
    <row r="397" spans="19:62" x14ac:dyDescent="0.25">
      <c r="S397" s="5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</row>
    <row r="398" spans="19:62" x14ac:dyDescent="0.25">
      <c r="S398" s="5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</row>
    <row r="399" spans="19:62" x14ac:dyDescent="0.25">
      <c r="S399" s="5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</row>
    <row r="400" spans="19:62" x14ac:dyDescent="0.25">
      <c r="S400" s="5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</row>
    <row r="401" spans="19:62" x14ac:dyDescent="0.25">
      <c r="S401" s="5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</row>
    <row r="402" spans="19:62" x14ac:dyDescent="0.25">
      <c r="S402" s="5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</row>
    <row r="403" spans="19:62" x14ac:dyDescent="0.25">
      <c r="S403" s="5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</row>
    <row r="404" spans="19:62" x14ac:dyDescent="0.25">
      <c r="S404" s="5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</row>
    <row r="405" spans="19:62" x14ac:dyDescent="0.25">
      <c r="S405" s="5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</row>
    <row r="406" spans="19:62" x14ac:dyDescent="0.25">
      <c r="S406" s="5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</row>
    <row r="407" spans="19:62" x14ac:dyDescent="0.25">
      <c r="S407" s="5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</row>
    <row r="408" spans="19:62" x14ac:dyDescent="0.25">
      <c r="S408" s="5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</row>
    <row r="409" spans="19:62" x14ac:dyDescent="0.25">
      <c r="S409" s="5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</row>
    <row r="410" spans="19:62" x14ac:dyDescent="0.25">
      <c r="S410" s="5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</row>
    <row r="411" spans="19:62" x14ac:dyDescent="0.25">
      <c r="S411" s="5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</row>
    <row r="412" spans="19:62" x14ac:dyDescent="0.25">
      <c r="S412" s="5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</row>
    <row r="413" spans="19:62" x14ac:dyDescent="0.25">
      <c r="S413" s="5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</row>
    <row r="414" spans="19:62" x14ac:dyDescent="0.25">
      <c r="S414" s="5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</row>
    <row r="415" spans="19:62" x14ac:dyDescent="0.25">
      <c r="S415" s="5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</row>
    <row r="416" spans="19:62" x14ac:dyDescent="0.25">
      <c r="S416" s="5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</row>
    <row r="417" spans="19:62" x14ac:dyDescent="0.25">
      <c r="S417" s="5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</row>
    <row r="418" spans="19:62" x14ac:dyDescent="0.25">
      <c r="S418" s="5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</row>
    <row r="419" spans="19:62" x14ac:dyDescent="0.25">
      <c r="S419" s="5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</row>
    <row r="420" spans="19:62" x14ac:dyDescent="0.25">
      <c r="S420" s="5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</row>
    <row r="421" spans="19:62" x14ac:dyDescent="0.25">
      <c r="S421" s="5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</row>
    <row r="422" spans="19:62" x14ac:dyDescent="0.25">
      <c r="S422" s="5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</row>
    <row r="423" spans="19:62" x14ac:dyDescent="0.25">
      <c r="S423" s="5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</row>
    <row r="424" spans="19:62" x14ac:dyDescent="0.25">
      <c r="S424" s="5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</row>
    <row r="425" spans="19:62" x14ac:dyDescent="0.25">
      <c r="S425" s="5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</row>
    <row r="426" spans="19:62" x14ac:dyDescent="0.25">
      <c r="S426" s="5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</row>
    <row r="427" spans="19:62" x14ac:dyDescent="0.25">
      <c r="S427" s="5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</row>
    <row r="428" spans="19:62" x14ac:dyDescent="0.25">
      <c r="S428" s="5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</row>
    <row r="429" spans="19:62" x14ac:dyDescent="0.25">
      <c r="S429" s="5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</row>
    <row r="430" spans="19:62" x14ac:dyDescent="0.25">
      <c r="S430" s="5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</row>
    <row r="431" spans="19:62" x14ac:dyDescent="0.25">
      <c r="S431" s="5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</row>
    <row r="432" spans="19:62" x14ac:dyDescent="0.25">
      <c r="S432" s="5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</row>
    <row r="433" spans="19:62" x14ac:dyDescent="0.25">
      <c r="S433" s="5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</row>
    <row r="434" spans="19:62" x14ac:dyDescent="0.25">
      <c r="S434" s="5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</row>
    <row r="435" spans="19:62" x14ac:dyDescent="0.25">
      <c r="S435" s="5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</row>
    <row r="436" spans="19:62" x14ac:dyDescent="0.25">
      <c r="S436" s="5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</row>
    <row r="437" spans="19:62" x14ac:dyDescent="0.25">
      <c r="S437" s="5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</row>
    <row r="438" spans="19:62" x14ac:dyDescent="0.25">
      <c r="S438" s="5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</row>
    <row r="439" spans="19:62" x14ac:dyDescent="0.25">
      <c r="S439" s="5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</row>
    <row r="440" spans="19:62" x14ac:dyDescent="0.25">
      <c r="S440" s="5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</row>
    <row r="441" spans="19:62" x14ac:dyDescent="0.25">
      <c r="S441" s="5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</row>
    <row r="442" spans="19:62" x14ac:dyDescent="0.25">
      <c r="S442" s="5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</row>
    <row r="443" spans="19:62" x14ac:dyDescent="0.25">
      <c r="S443" s="5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</row>
    <row r="444" spans="19:62" x14ac:dyDescent="0.25">
      <c r="S444" s="5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</row>
    <row r="445" spans="19:62" x14ac:dyDescent="0.25">
      <c r="S445" s="5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</row>
    <row r="446" spans="19:62" x14ac:dyDescent="0.25">
      <c r="S446" s="5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</row>
    <row r="447" spans="19:62" x14ac:dyDescent="0.25">
      <c r="S447" s="5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</row>
    <row r="448" spans="19:62" x14ac:dyDescent="0.25">
      <c r="S448" s="5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</row>
    <row r="449" spans="19:62" x14ac:dyDescent="0.25">
      <c r="S449" s="5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</row>
    <row r="450" spans="19:62" x14ac:dyDescent="0.25">
      <c r="S450" s="5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</row>
    <row r="451" spans="19:62" x14ac:dyDescent="0.25">
      <c r="S451" s="5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</row>
    <row r="452" spans="19:62" x14ac:dyDescent="0.25">
      <c r="S452" s="5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</row>
    <row r="453" spans="19:62" x14ac:dyDescent="0.25">
      <c r="S453" s="5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</row>
    <row r="454" spans="19:62" x14ac:dyDescent="0.25">
      <c r="S454" s="5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</row>
    <row r="455" spans="19:62" x14ac:dyDescent="0.25">
      <c r="S455" s="5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</row>
    <row r="456" spans="19:62" x14ac:dyDescent="0.25">
      <c r="S456" s="5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</row>
    <row r="457" spans="19:62" x14ac:dyDescent="0.25">
      <c r="S457" s="5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</row>
    <row r="458" spans="19:62" x14ac:dyDescent="0.25">
      <c r="S458" s="5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</row>
    <row r="459" spans="19:62" x14ac:dyDescent="0.25">
      <c r="S459" s="5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</row>
    <row r="460" spans="19:62" x14ac:dyDescent="0.25">
      <c r="S460" s="5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</row>
    <row r="461" spans="19:62" x14ac:dyDescent="0.25">
      <c r="S461" s="5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</row>
    <row r="462" spans="19:62" x14ac:dyDescent="0.25">
      <c r="S462" s="5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</row>
    <row r="463" spans="19:62" x14ac:dyDescent="0.25">
      <c r="S463" s="5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</row>
    <row r="464" spans="19:62" x14ac:dyDescent="0.25">
      <c r="S464" s="5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</row>
    <row r="465" spans="19:62" x14ac:dyDescent="0.25">
      <c r="S465" s="5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</row>
    <row r="466" spans="19:62" x14ac:dyDescent="0.25">
      <c r="S466" s="5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</row>
    <row r="467" spans="19:62" x14ac:dyDescent="0.25">
      <c r="S467" s="5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</row>
    <row r="468" spans="19:62" x14ac:dyDescent="0.25">
      <c r="S468" s="5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</row>
    <row r="469" spans="19:62" x14ac:dyDescent="0.25">
      <c r="S469" s="5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</row>
    <row r="470" spans="19:62" x14ac:dyDescent="0.25">
      <c r="S470" s="5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</row>
    <row r="471" spans="19:62" x14ac:dyDescent="0.25">
      <c r="S471" s="5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</row>
    <row r="472" spans="19:62" x14ac:dyDescent="0.25">
      <c r="S472" s="5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</row>
    <row r="473" spans="19:62" x14ac:dyDescent="0.25">
      <c r="S473" s="5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</row>
    <row r="474" spans="19:62" x14ac:dyDescent="0.25">
      <c r="S474" s="5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</row>
    <row r="475" spans="19:62" x14ac:dyDescent="0.25">
      <c r="S475" s="5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</row>
    <row r="476" spans="19:62" x14ac:dyDescent="0.25">
      <c r="S476" s="5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</row>
    <row r="477" spans="19:62" x14ac:dyDescent="0.25">
      <c r="S477" s="5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</row>
    <row r="478" spans="19:62" x14ac:dyDescent="0.25">
      <c r="S478" s="5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</row>
    <row r="479" spans="19:62" x14ac:dyDescent="0.25">
      <c r="S479" s="5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</row>
    <row r="480" spans="19:62" x14ac:dyDescent="0.25">
      <c r="S480" s="5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</row>
    <row r="481" spans="19:62" x14ac:dyDescent="0.25">
      <c r="S481" s="5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</row>
    <row r="482" spans="19:62" x14ac:dyDescent="0.25">
      <c r="S482" s="5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</row>
    <row r="483" spans="19:62" x14ac:dyDescent="0.25">
      <c r="S483" s="5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</row>
    <row r="484" spans="19:62" x14ac:dyDescent="0.25">
      <c r="S484" s="5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</row>
    <row r="485" spans="19:62" x14ac:dyDescent="0.25">
      <c r="S485" s="5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</row>
    <row r="486" spans="19:62" x14ac:dyDescent="0.25">
      <c r="S486" s="5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</row>
    <row r="487" spans="19:62" x14ac:dyDescent="0.25">
      <c r="S487" s="5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</row>
    <row r="488" spans="19:62" x14ac:dyDescent="0.25">
      <c r="S488" s="5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</row>
    <row r="489" spans="19:62" x14ac:dyDescent="0.25">
      <c r="S489" s="5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</row>
    <row r="490" spans="19:62" x14ac:dyDescent="0.25">
      <c r="S490" s="5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</row>
    <row r="491" spans="19:62" x14ac:dyDescent="0.25">
      <c r="S491" s="5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</row>
    <row r="492" spans="19:62" x14ac:dyDescent="0.25">
      <c r="S492" s="5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</row>
    <row r="493" spans="19:62" x14ac:dyDescent="0.25">
      <c r="S493" s="5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</row>
    <row r="494" spans="19:62" x14ac:dyDescent="0.25">
      <c r="S494" s="5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</row>
    <row r="495" spans="19:62" x14ac:dyDescent="0.25">
      <c r="S495" s="5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</row>
    <row r="496" spans="19:62" x14ac:dyDescent="0.25">
      <c r="S496" s="5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</row>
    <row r="497" spans="19:62" x14ac:dyDescent="0.25">
      <c r="S497" s="5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</row>
    <row r="498" spans="19:62" x14ac:dyDescent="0.25">
      <c r="S498" s="5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</row>
    <row r="499" spans="19:62" x14ac:dyDescent="0.25">
      <c r="S499" s="5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</row>
    <row r="500" spans="19:62" x14ac:dyDescent="0.25">
      <c r="S500" s="5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</row>
    <row r="501" spans="19:62" x14ac:dyDescent="0.25">
      <c r="S501" s="5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</row>
    <row r="502" spans="19:62" x14ac:dyDescent="0.25">
      <c r="S502" s="5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</row>
    <row r="503" spans="19:62" x14ac:dyDescent="0.25">
      <c r="S503" s="5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</row>
    <row r="504" spans="19:62" x14ac:dyDescent="0.25">
      <c r="S504" s="5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</row>
    <row r="505" spans="19:62" x14ac:dyDescent="0.25">
      <c r="S505" s="5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</row>
    <row r="506" spans="19:62" x14ac:dyDescent="0.25">
      <c r="S506" s="5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</row>
    <row r="507" spans="19:62" x14ac:dyDescent="0.25">
      <c r="S507" s="5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</row>
    <row r="508" spans="19:62" x14ac:dyDescent="0.25">
      <c r="S508" s="5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</row>
    <row r="509" spans="19:62" x14ac:dyDescent="0.25">
      <c r="S509" s="5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</row>
    <row r="510" spans="19:62" x14ac:dyDescent="0.25">
      <c r="S510" s="5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</row>
    <row r="511" spans="19:62" x14ac:dyDescent="0.25">
      <c r="S511" s="5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</row>
    <row r="512" spans="19:62" x14ac:dyDescent="0.25">
      <c r="S512" s="5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</row>
    <row r="513" spans="19:62" x14ac:dyDescent="0.25">
      <c r="S513" s="5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</row>
    <row r="514" spans="19:62" x14ac:dyDescent="0.25">
      <c r="S514" s="5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</row>
    <row r="515" spans="19:62" x14ac:dyDescent="0.25">
      <c r="S515" s="5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</row>
    <row r="516" spans="19:62" x14ac:dyDescent="0.25">
      <c r="S516" s="5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</row>
    <row r="517" spans="19:62" x14ac:dyDescent="0.25">
      <c r="S517" s="5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</row>
    <row r="518" spans="19:62" x14ac:dyDescent="0.25">
      <c r="S518" s="5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</row>
    <row r="519" spans="19:62" x14ac:dyDescent="0.25">
      <c r="S519" s="5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</row>
    <row r="520" spans="19:62" x14ac:dyDescent="0.25">
      <c r="S520" s="5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</row>
    <row r="521" spans="19:62" x14ac:dyDescent="0.25">
      <c r="S521" s="5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</row>
    <row r="522" spans="19:62" x14ac:dyDescent="0.25">
      <c r="S522" s="5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</row>
    <row r="523" spans="19:62" x14ac:dyDescent="0.25">
      <c r="S523" s="5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</row>
    <row r="524" spans="19:62" x14ac:dyDescent="0.25">
      <c r="S524" s="5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</row>
    <row r="525" spans="19:62" x14ac:dyDescent="0.25">
      <c r="S525" s="5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</row>
    <row r="526" spans="19:62" x14ac:dyDescent="0.25">
      <c r="S526" s="5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</row>
    <row r="527" spans="19:62" x14ac:dyDescent="0.25">
      <c r="S527" s="5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</row>
    <row r="528" spans="19:62" x14ac:dyDescent="0.25">
      <c r="S528" s="5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</row>
    <row r="529" spans="19:62" x14ac:dyDescent="0.25">
      <c r="S529" s="5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</row>
    <row r="530" spans="19:62" x14ac:dyDescent="0.25">
      <c r="S530" s="5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</row>
    <row r="531" spans="19:62" x14ac:dyDescent="0.25">
      <c r="S531" s="5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</row>
    <row r="532" spans="19:62" x14ac:dyDescent="0.25">
      <c r="S532" s="5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</row>
    <row r="533" spans="19:62" x14ac:dyDescent="0.25">
      <c r="S533" s="5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</row>
    <row r="534" spans="19:62" x14ac:dyDescent="0.25">
      <c r="S534" s="5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</row>
    <row r="535" spans="19:62" x14ac:dyDescent="0.25">
      <c r="S535" s="5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</row>
    <row r="536" spans="19:62" x14ac:dyDescent="0.25">
      <c r="S536" s="5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</row>
    <row r="537" spans="19:62" x14ac:dyDescent="0.25">
      <c r="S537" s="5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</row>
    <row r="538" spans="19:62" x14ac:dyDescent="0.25">
      <c r="S538" s="5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</row>
    <row r="539" spans="19:62" x14ac:dyDescent="0.25">
      <c r="S539" s="5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</row>
    <row r="540" spans="19:62" x14ac:dyDescent="0.25">
      <c r="S540" s="5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</row>
    <row r="541" spans="19:62" x14ac:dyDescent="0.25">
      <c r="S541" s="5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</row>
    <row r="542" spans="19:62" x14ac:dyDescent="0.25">
      <c r="S542" s="5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</row>
    <row r="543" spans="19:62" x14ac:dyDescent="0.25">
      <c r="S543" s="5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</row>
    <row r="544" spans="19:62" x14ac:dyDescent="0.25">
      <c r="S544" s="5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</row>
    <row r="545" spans="19:62" x14ac:dyDescent="0.25">
      <c r="S545" s="5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</row>
    <row r="546" spans="19:62" x14ac:dyDescent="0.25">
      <c r="S546" s="5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</row>
    <row r="547" spans="19:62" x14ac:dyDescent="0.25">
      <c r="S547" s="5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</row>
    <row r="548" spans="19:62" x14ac:dyDescent="0.25">
      <c r="S548" s="5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</row>
    <row r="549" spans="19:62" x14ac:dyDescent="0.25">
      <c r="S549" s="5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</row>
    <row r="550" spans="19:62" x14ac:dyDescent="0.25">
      <c r="S550" s="5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</row>
    <row r="551" spans="19:62" x14ac:dyDescent="0.25">
      <c r="S551" s="5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</row>
    <row r="552" spans="19:62" x14ac:dyDescent="0.25">
      <c r="S552" s="5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</row>
    <row r="553" spans="19:62" x14ac:dyDescent="0.25">
      <c r="S553" s="5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</row>
    <row r="554" spans="19:62" x14ac:dyDescent="0.25">
      <c r="S554" s="5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</row>
    <row r="555" spans="19:62" x14ac:dyDescent="0.25">
      <c r="S555" s="5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</row>
    <row r="556" spans="19:62" x14ac:dyDescent="0.25">
      <c r="S556" s="5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</row>
    <row r="557" spans="19:62" x14ac:dyDescent="0.25">
      <c r="S557" s="5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</row>
    <row r="558" spans="19:62" x14ac:dyDescent="0.25">
      <c r="S558" s="5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</row>
    <row r="559" spans="19:62" x14ac:dyDescent="0.25">
      <c r="S559" s="5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</row>
    <row r="560" spans="19:62" x14ac:dyDescent="0.25">
      <c r="S560" s="5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</row>
    <row r="561" spans="19:62" x14ac:dyDescent="0.25">
      <c r="S561" s="5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</row>
    <row r="562" spans="19:62" x14ac:dyDescent="0.25">
      <c r="S562" s="5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</row>
    <row r="563" spans="19:62" x14ac:dyDescent="0.25">
      <c r="S563" s="5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</row>
    <row r="564" spans="19:62" x14ac:dyDescent="0.25">
      <c r="S564" s="5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</row>
    <row r="565" spans="19:62" x14ac:dyDescent="0.25">
      <c r="S565" s="5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</row>
    <row r="566" spans="19:62" x14ac:dyDescent="0.25">
      <c r="S566" s="5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</row>
    <row r="567" spans="19:62" x14ac:dyDescent="0.25">
      <c r="S567" s="5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</row>
    <row r="568" spans="19:62" x14ac:dyDescent="0.25">
      <c r="S568" s="5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</row>
    <row r="569" spans="19:62" x14ac:dyDescent="0.25">
      <c r="S569" s="5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</row>
    <row r="570" spans="19:62" x14ac:dyDescent="0.25">
      <c r="S570" s="5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</row>
    <row r="571" spans="19:62" x14ac:dyDescent="0.25">
      <c r="S571" s="5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</row>
    <row r="572" spans="19:62" x14ac:dyDescent="0.25">
      <c r="S572" s="5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</row>
    <row r="573" spans="19:62" x14ac:dyDescent="0.25">
      <c r="S573" s="5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</row>
    <row r="574" spans="19:62" x14ac:dyDescent="0.25">
      <c r="S574" s="5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</row>
    <row r="575" spans="19:62" x14ac:dyDescent="0.25">
      <c r="S575" s="5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</row>
    <row r="576" spans="19:62" x14ac:dyDescent="0.25">
      <c r="S576" s="5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</row>
    <row r="577" spans="19:62" x14ac:dyDescent="0.25">
      <c r="S577" s="5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</row>
    <row r="578" spans="19:62" x14ac:dyDescent="0.25">
      <c r="S578" s="5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</row>
    <row r="579" spans="19:62" x14ac:dyDescent="0.25">
      <c r="S579" s="5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</row>
    <row r="580" spans="19:62" x14ac:dyDescent="0.25">
      <c r="S580" s="5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</row>
    <row r="581" spans="19:62" x14ac:dyDescent="0.25">
      <c r="S581" s="5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</row>
    <row r="582" spans="19:62" x14ac:dyDescent="0.25">
      <c r="S582" s="5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</row>
    <row r="583" spans="19:62" x14ac:dyDescent="0.25">
      <c r="S583" s="5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</row>
    <row r="584" spans="19:62" x14ac:dyDescent="0.25">
      <c r="S584" s="5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</row>
    <row r="585" spans="19:62" x14ac:dyDescent="0.25">
      <c r="S585" s="5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</row>
    <row r="586" spans="19:62" x14ac:dyDescent="0.25">
      <c r="S586" s="5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</row>
    <row r="587" spans="19:62" x14ac:dyDescent="0.25">
      <c r="S587" s="5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</row>
    <row r="588" spans="19:62" x14ac:dyDescent="0.25">
      <c r="S588" s="5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</row>
    <row r="589" spans="19:62" x14ac:dyDescent="0.25">
      <c r="S589" s="5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</row>
    <row r="590" spans="19:62" x14ac:dyDescent="0.25">
      <c r="S590" s="5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</row>
    <row r="591" spans="19:62" x14ac:dyDescent="0.25">
      <c r="S591" s="5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</row>
    <row r="592" spans="19:62" x14ac:dyDescent="0.25">
      <c r="S592" s="5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</row>
    <row r="593" spans="19:62" x14ac:dyDescent="0.25">
      <c r="S593" s="5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</row>
    <row r="594" spans="19:62" x14ac:dyDescent="0.25">
      <c r="S594" s="5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</row>
    <row r="595" spans="19:62" x14ac:dyDescent="0.25">
      <c r="S595" s="5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</row>
    <row r="596" spans="19:62" x14ac:dyDescent="0.25">
      <c r="S596" s="5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</row>
    <row r="597" spans="19:62" x14ac:dyDescent="0.25">
      <c r="S597" s="5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</row>
    <row r="598" spans="19:62" x14ac:dyDescent="0.25">
      <c r="S598" s="5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</row>
    <row r="599" spans="19:62" x14ac:dyDescent="0.25">
      <c r="S599" s="5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</row>
    <row r="600" spans="19:62" x14ac:dyDescent="0.25">
      <c r="S600" s="5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</row>
    <row r="601" spans="19:62" x14ac:dyDescent="0.25">
      <c r="S601" s="5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</row>
    <row r="602" spans="19:62" x14ac:dyDescent="0.25">
      <c r="S602" s="5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</row>
    <row r="603" spans="19:62" x14ac:dyDescent="0.25">
      <c r="S603" s="5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</row>
    <row r="604" spans="19:62" x14ac:dyDescent="0.25">
      <c r="S604" s="5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</row>
    <row r="605" spans="19:62" x14ac:dyDescent="0.25">
      <c r="S605" s="5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</row>
    <row r="606" spans="19:62" x14ac:dyDescent="0.25">
      <c r="S606" s="5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</row>
    <row r="607" spans="19:62" x14ac:dyDescent="0.25">
      <c r="S607" s="5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</row>
    <row r="608" spans="19:62" x14ac:dyDescent="0.25">
      <c r="S608" s="5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</row>
    <row r="609" spans="19:62" x14ac:dyDescent="0.25">
      <c r="S609" s="5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</row>
    <row r="610" spans="19:62" x14ac:dyDescent="0.25">
      <c r="S610" s="5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</row>
    <row r="611" spans="19:62" x14ac:dyDescent="0.25">
      <c r="S611" s="5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</row>
    <row r="612" spans="19:62" x14ac:dyDescent="0.25">
      <c r="S612" s="5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</row>
    <row r="613" spans="19:62" x14ac:dyDescent="0.25">
      <c r="S613" s="5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</row>
    <row r="614" spans="19:62" x14ac:dyDescent="0.25">
      <c r="S614" s="5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</row>
    <row r="615" spans="19:62" x14ac:dyDescent="0.25">
      <c r="S615" s="5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</row>
    <row r="616" spans="19:62" x14ac:dyDescent="0.25">
      <c r="S616" s="5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</row>
    <row r="617" spans="19:62" x14ac:dyDescent="0.25">
      <c r="S617" s="5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</row>
    <row r="618" spans="19:62" x14ac:dyDescent="0.25">
      <c r="S618" s="5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</row>
    <row r="619" spans="19:62" x14ac:dyDescent="0.25">
      <c r="S619" s="5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</row>
    <row r="620" spans="19:62" x14ac:dyDescent="0.25">
      <c r="S620" s="5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</row>
    <row r="621" spans="19:62" x14ac:dyDescent="0.25">
      <c r="S621" s="5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</row>
    <row r="622" spans="19:62" x14ac:dyDescent="0.25">
      <c r="S622" s="5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</row>
    <row r="623" spans="19:62" x14ac:dyDescent="0.25">
      <c r="S623" s="5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</row>
    <row r="624" spans="19:62" x14ac:dyDescent="0.25">
      <c r="S624" s="5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</row>
    <row r="625" spans="19:62" x14ac:dyDescent="0.25">
      <c r="S625" s="5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</row>
    <row r="626" spans="19:62" x14ac:dyDescent="0.25">
      <c r="S626" s="5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</row>
    <row r="627" spans="19:62" x14ac:dyDescent="0.25">
      <c r="S627" s="5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</row>
    <row r="628" spans="19:62" x14ac:dyDescent="0.25">
      <c r="S628" s="5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</row>
    <row r="629" spans="19:62" x14ac:dyDescent="0.25">
      <c r="S629" s="5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</row>
    <row r="630" spans="19:62" x14ac:dyDescent="0.25">
      <c r="S630" s="5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</row>
    <row r="631" spans="19:62" x14ac:dyDescent="0.25">
      <c r="S631" s="5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</row>
    <row r="632" spans="19:62" x14ac:dyDescent="0.25">
      <c r="S632" s="5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</row>
    <row r="633" spans="19:62" x14ac:dyDescent="0.25">
      <c r="S633" s="5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</row>
    <row r="634" spans="19:62" x14ac:dyDescent="0.25">
      <c r="S634" s="5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</row>
    <row r="635" spans="19:62" x14ac:dyDescent="0.25">
      <c r="S635" s="5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</row>
    <row r="636" spans="19:62" x14ac:dyDescent="0.25">
      <c r="S636" s="5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</row>
    <row r="637" spans="19:62" x14ac:dyDescent="0.25">
      <c r="S637" s="5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</row>
    <row r="638" spans="19:62" x14ac:dyDescent="0.25">
      <c r="S638" s="5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</row>
    <row r="639" spans="19:62" x14ac:dyDescent="0.25">
      <c r="S639" s="5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</row>
    <row r="640" spans="19:62" x14ac:dyDescent="0.25">
      <c r="S640" s="5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</row>
    <row r="641" spans="19:62" x14ac:dyDescent="0.25">
      <c r="S641" s="5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</row>
  </sheetData>
  <mergeCells count="43">
    <mergeCell ref="T25:W25"/>
    <mergeCell ref="AB25:AD25"/>
    <mergeCell ref="A1:O1"/>
    <mergeCell ref="L2:O2"/>
    <mergeCell ref="C3:E3"/>
    <mergeCell ref="F3:H3"/>
    <mergeCell ref="I3:K3"/>
    <mergeCell ref="L3:M4"/>
    <mergeCell ref="N3:O4"/>
    <mergeCell ref="A3:A5"/>
    <mergeCell ref="D4:E4"/>
    <mergeCell ref="G4:H4"/>
    <mergeCell ref="J4:K4"/>
    <mergeCell ref="B4:B5"/>
    <mergeCell ref="C4:C5"/>
    <mergeCell ref="I4:I5"/>
    <mergeCell ref="A6:A7"/>
    <mergeCell ref="N7:O7"/>
    <mergeCell ref="A8:A9"/>
    <mergeCell ref="N9:O9"/>
    <mergeCell ref="A10:A11"/>
    <mergeCell ref="N11:O11"/>
    <mergeCell ref="A12:A13"/>
    <mergeCell ref="N13:O13"/>
    <mergeCell ref="A14:A15"/>
    <mergeCell ref="N15:O15"/>
    <mergeCell ref="A16:A17"/>
    <mergeCell ref="N17:O17"/>
    <mergeCell ref="A20:A21"/>
    <mergeCell ref="A22:A23"/>
    <mergeCell ref="N23:O23"/>
    <mergeCell ref="C34:F34"/>
    <mergeCell ref="L34:N34"/>
    <mergeCell ref="A18:A19"/>
    <mergeCell ref="N19:O19"/>
    <mergeCell ref="A28:A29"/>
    <mergeCell ref="L30:O32"/>
    <mergeCell ref="I28:J28"/>
    <mergeCell ref="I29:J29"/>
    <mergeCell ref="I30:J30"/>
    <mergeCell ref="I31:J31"/>
    <mergeCell ref="I32:J32"/>
    <mergeCell ref="A26:O26"/>
  </mergeCells>
  <phoneticPr fontId="69" type="noConversion"/>
  <printOptions horizontalCentered="1"/>
  <pageMargins left="0" right="0" top="0.39374999999999999" bottom="0" header="0.11805599999999999" footer="0.11805599999999999"/>
  <pageSetup paperSize="8" fitToWidth="0" orientation="landscape"/>
  <rowBreaks count="1" manualBreakCount="1">
    <brk id="27" man="1"/>
  </rowBreaks>
  <drawing r:id="rId1"/>
  <legacyDrawing r:id="rId2"/>
  <extLst>
    <ext uri="smNativeData">
      <pm:sheetPrefs xmlns:pm="smNativeData" day="1769060904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16.12 (P)</vt:lpstr>
      <vt:lpstr>'16.12 (P)'!Область_печати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Sukhrob</dc:creator>
  <cp:keywords/>
  <dc:description/>
  <cp:lastModifiedBy>Sukhrob</cp:lastModifiedBy>
  <cp:revision>0</cp:revision>
  <dcterms:created xsi:type="dcterms:W3CDTF">2025-12-16T07:07:36Z</dcterms:created>
  <dcterms:modified xsi:type="dcterms:W3CDTF">2026-06-01T13:23:19Z</dcterms:modified>
</cp:coreProperties>
</file>